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1100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35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nghỉ phép 11h35 đến 16h30 ngày 06/11 đi làm </t>
        </r>
      </text>
    </comment>
    <comment ref="F38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đi làm từ ngày 17/11
</t>
        </r>
      </text>
    </comment>
    <comment ref="R52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tháng năm sinh của con</t>
        </r>
      </text>
    </comment>
    <comment ref="S52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Mã thẻ BHYT của con</t>
        </r>
      </text>
    </comment>
    <comment ref="F55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đi làm từ ngày 03/11/2025</t>
        </r>
      </text>
    </comment>
    <comment ref="E70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07/11/2025 đi làm</t>
        </r>
      </text>
    </comment>
    <comment ref="F70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14/11/2025 đi làm</t>
        </r>
      </text>
    </comment>
    <comment ref="R74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R83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R88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tháng năm sinh của con</t>
        </r>
      </text>
    </comment>
    <comment ref="R99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Tuổi thai</t>
        </r>
      </text>
    </comment>
    <comment ref="S99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số sổ BHXH, CCCD của vợ</t>
        </r>
      </text>
    </comment>
    <comment ref="R103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sinh của con</t>
        </r>
      </text>
    </comment>
    <comment ref="R104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sinh của con</t>
        </r>
      </text>
    </comment>
    <comment ref="R110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trở lại làm việc</t>
        </r>
      </text>
    </comment>
    <comment ref="R117" authorId="0">
      <text>
        <r>
          <rPr>
            <b/>
            <color indexed="81"/>
            <family val="2"/>
            <sz val="9"/>
            <rFont val="Tahoma"/>
          </rPr>
          <t>Hang Nguyen Thi Thu (HRD/CMVN):</t>
        </r>
        <r>
          <rPr>
            <color indexed="81"/>
            <family val="2"/>
            <sz val="9"/>
            <rFont val="Tahoma"/>
          </rPr>
          <t xml:space="preserve">
ngày trở lại làm việc</t>
        </r>
      </text>
    </comment>
  </commentList>
</comments>
</file>

<file path=xl/sharedStrings.xml><?xml version="1.0" encoding="utf-8"?>
<sst xmlns="http://schemas.openxmlformats.org/spreadsheetml/2006/main" count="453" uniqueCount="208">
  <si>
    <t>Tên cơ quan đơn vị: Công ty TNHH Crystal Martin (Việt Nam)</t>
  </si>
  <si>
    <t>Mã đơn vị: YN0050Z</t>
  </si>
  <si>
    <t>Số Điện thoại: 0204 381 81 88</t>
  </si>
  <si>
    <t>Số hồ sơ:</t>
  </si>
  <si>
    <t xml:space="preserve">DANH SÁCH ĐỀ NGHỊ GIẢI QUYẾT HƯỞNG CHẾ ĐỘ, ỐM ĐAU, THAI SẢN, </t>
  </si>
  <si>
    <t>DƯỠNG SỨC PHỤC HỒI SỨC KHỎE</t>
  </si>
  <si>
    <t>Đợt III tháng 10 năm 2025</t>
  </si>
  <si>
    <t>Số tài khoản: 0351000777749          Mở tại: Ngân hàng TMCP Ngoại thương Việt Nam       Chi nhánh: Bắc Ninh</t>
  </si>
  <si>
    <t>PHẦN 1: DANH SÁCH ĐỀ NGHỊ HƯỞNG CHẾ ĐỘ MỚI PHÁT SINH</t>
  </si>
  <si>
    <t>STT</t>
  </si>
  <si>
    <t>MNV</t>
  </si>
  <si>
    <t>Họ và tên</t>
  </si>
  <si>
    <t>Mã số BHXH</t>
  </si>
  <si>
    <t>Từ ngày</t>
  </si>
  <si>
    <t>Đến ngày</t>
  </si>
  <si>
    <t>Tổng số</t>
  </si>
  <si>
    <t>Mã hồ sơ</t>
  </si>
  <si>
    <t>Thông tin về tài khoản nhận trợ cấp</t>
  </si>
  <si>
    <t xml:space="preserve">Chỉ tiêu xác định điều kiện, mức hưởng  </t>
  </si>
  <si>
    <t>Ghi chú</t>
  </si>
  <si>
    <t>241095</t>
  </si>
  <si>
    <t>Không được duyệt trong đợt 02 tháng 03 năm 2024 của cơ quan BHXH</t>
  </si>
  <si>
    <t>Nghỉ ốm</t>
  </si>
  <si>
    <t>GCN2</t>
  </si>
  <si>
    <t>24008979</t>
  </si>
  <si>
    <t>242265</t>
  </si>
  <si>
    <t>240092519206</t>
  </si>
  <si>
    <t>252234</t>
  </si>
  <si>
    <t>252302</t>
  </si>
  <si>
    <t>242972503143</t>
  </si>
  <si>
    <t>252303</t>
  </si>
  <si>
    <t>270090002210-2025</t>
  </si>
  <si>
    <t>220898</t>
  </si>
  <si>
    <t>240092519051</t>
  </si>
  <si>
    <t>243982</t>
  </si>
  <si>
    <t>8295</t>
  </si>
  <si>
    <t>250277</t>
  </si>
  <si>
    <t>0000001149</t>
  </si>
  <si>
    <t>252712</t>
  </si>
  <si>
    <t>3421741603</t>
  </si>
  <si>
    <t>24275/25/002800</t>
  </si>
  <si>
    <t>240581</t>
  </si>
  <si>
    <t>240092518941</t>
  </si>
  <si>
    <t>222252</t>
  </si>
  <si>
    <t>Có chấm công trong ngày nghỉ: 13/11/25 (Pay1: 290)</t>
  </si>
  <si>
    <t>245352506420</t>
  </si>
  <si>
    <t>244869</t>
  </si>
  <si>
    <t>0000444</t>
  </si>
  <si>
    <t>251173</t>
  </si>
  <si>
    <t>Có chấm công trong ngày nghỉ: 12/11/25 (Pay1: 99)</t>
  </si>
  <si>
    <t>240172402652</t>
  </si>
  <si>
    <t>246991</t>
  </si>
  <si>
    <t>Có chấm công trong ngày nghỉ: 10/11/25 (In/Out: 07:35-09:41)</t>
  </si>
  <si>
    <t>10811</t>
  </si>
  <si>
    <t>240792</t>
  </si>
  <si>
    <t>8195</t>
  </si>
  <si>
    <t>8340</t>
  </si>
  <si>
    <t>244047</t>
  </si>
  <si>
    <t>24614</t>
  </si>
  <si>
    <t>250982</t>
  </si>
  <si>
    <t>Có chấm công trong ngày nghỉ: 14/11/25 (In/Out: 07:45-07:55)</t>
  </si>
  <si>
    <t>245948</t>
  </si>
  <si>
    <t>42972503189</t>
  </si>
  <si>
    <t>239572</t>
  </si>
  <si>
    <t>240082401677</t>
  </si>
  <si>
    <t>244965</t>
  </si>
  <si>
    <t>Giấy ra viện</t>
  </si>
  <si>
    <t>214350</t>
  </si>
  <si>
    <t>251861</t>
  </si>
  <si>
    <t>228584</t>
  </si>
  <si>
    <t>220657</t>
  </si>
  <si>
    <t>246955</t>
  </si>
  <si>
    <t>Giấy ra viện, CNPT</t>
  </si>
  <si>
    <t>202957</t>
  </si>
  <si>
    <t>238258</t>
  </si>
  <si>
    <t>248344</t>
  </si>
  <si>
    <t>Có chấm công trong ngày nghỉ: 30/10/25 (In/Out: 07:36-16:30)</t>
  </si>
  <si>
    <t>211670</t>
  </si>
  <si>
    <t>Cộng</t>
  </si>
  <si>
    <t>II</t>
  </si>
  <si>
    <t>Ốm dài ngày</t>
  </si>
  <si>
    <t>CN</t>
  </si>
  <si>
    <t>T2</t>
  </si>
  <si>
    <t>T3</t>
  </si>
  <si>
    <t>T4</t>
  </si>
  <si>
    <t>T5</t>
  </si>
  <si>
    <t>T6</t>
  </si>
  <si>
    <t>T7</t>
  </si>
  <si>
    <t>Tổng</t>
  </si>
  <si>
    <t>249240</t>
  </si>
  <si>
    <t>24275/25/002762</t>
  </si>
  <si>
    <t>246660</t>
  </si>
  <si>
    <t>240232502781</t>
  </si>
  <si>
    <t>203534</t>
  </si>
  <si>
    <t>236103</t>
  </si>
  <si>
    <t>III</t>
  </si>
  <si>
    <t>Con ốm</t>
  </si>
  <si>
    <t>-</t>
  </si>
  <si>
    <t>Con dưới 03 tuổi</t>
  </si>
  <si>
    <t>202042</t>
  </si>
  <si>
    <t xml:space="preserve">03/11/2023
TE1242422671438</t>
  </si>
  <si>
    <t>Giấy ra viện, GKS</t>
  </si>
  <si>
    <t>249530</t>
  </si>
  <si>
    <t xml:space="preserve">13/08/2024
TE1242422745803</t>
  </si>
  <si>
    <t>226387</t>
  </si>
  <si>
    <t xml:space="preserve">21/05/2024
TE1242422733894</t>
  </si>
  <si>
    <t>GCN2, GKS</t>
  </si>
  <si>
    <t>7914</t>
  </si>
  <si>
    <t>211654</t>
  </si>
  <si>
    <t xml:space="preserve">12/06/2024
TE1242422736376; Có chấm công trong ngày nghỉ: 1/11/25 (In/Out: 07:45-17:25)</t>
  </si>
  <si>
    <t>249084</t>
  </si>
  <si>
    <t xml:space="preserve">08/11/2023
TE1252521998552</t>
  </si>
  <si>
    <t>233411</t>
  </si>
  <si>
    <t xml:space="preserve">27/03/2025
TE1242422775370
NLĐ nghỉ ốm nửa ngày 06/11 (từ 14h40-16h30) và ngày 07/11/2025; Có chấm công trong ngày nghỉ: 6/11/25 (In/Out: 07:41-14:30)</t>
  </si>
  <si>
    <t>226526</t>
  </si>
  <si>
    <t xml:space="preserve">21/08/2024
TE1242422745403</t>
  </si>
  <si>
    <t>246992</t>
  </si>
  <si>
    <t xml:space="preserve">18/06/2024
TE1272722176651</t>
  </si>
  <si>
    <t>234869</t>
  </si>
  <si>
    <t xml:space="preserve">18/12/2022
TE1242422669669</t>
  </si>
  <si>
    <t>24275/25/002842</t>
  </si>
  <si>
    <t>226604</t>
  </si>
  <si>
    <t xml:space="preserve">13/01/2025
TE1242422767675</t>
  </si>
  <si>
    <t>Con từ đủ 03 tuổi đến 07 tuổi</t>
  </si>
  <si>
    <t>250978</t>
  </si>
  <si>
    <t xml:space="preserve">25/01/2020
TE1242422519981</t>
  </si>
  <si>
    <t>00032032</t>
  </si>
  <si>
    <t>238477</t>
  </si>
  <si>
    <t xml:space="preserve">29/06/2020
TE1242422550373</t>
  </si>
  <si>
    <t>217382</t>
  </si>
  <si>
    <t xml:space="preserve">04/10/2020
TE1242422557206</t>
  </si>
  <si>
    <t>252165</t>
  </si>
  <si>
    <t xml:space="preserve">17/09/2021
TE1191921725909</t>
  </si>
  <si>
    <t>B</t>
  </si>
  <si>
    <t>CHẾ ĐỘ THAI SẢN</t>
  </si>
  <si>
    <t>I</t>
  </si>
  <si>
    <t>Khám thai</t>
  </si>
  <si>
    <t>242687</t>
  </si>
  <si>
    <t>CT07</t>
  </si>
  <si>
    <t>245352506233</t>
  </si>
  <si>
    <t>242264</t>
  </si>
  <si>
    <t>240092518802</t>
  </si>
  <si>
    <t>225885</t>
  </si>
  <si>
    <t xml:space="preserve">242892506382 </t>
  </si>
  <si>
    <t>240325</t>
  </si>
  <si>
    <t>001828</t>
  </si>
  <si>
    <t>239659</t>
  </si>
  <si>
    <t>200162503197</t>
  </si>
  <si>
    <t>242492</t>
  </si>
  <si>
    <t>2717400011173</t>
  </si>
  <si>
    <t>Sảy thai, nạo hút thai, thai chết lưu hoặc phá thai bệnh lý</t>
  </si>
  <si>
    <t xml:space="preserve">- </t>
  </si>
  <si>
    <t>Trường hợp thai từ 05 tuần tuổi đến dưới 13 tuần tuổi</t>
  </si>
  <si>
    <t>222092</t>
  </si>
  <si>
    <t>06 tuần</t>
  </si>
  <si>
    <t>Sẩy thai</t>
  </si>
  <si>
    <t>Sinh con</t>
  </si>
  <si>
    <t>Trường hợp thông thường</t>
  </si>
  <si>
    <t>+</t>
  </si>
  <si>
    <t>Sinh một con</t>
  </si>
  <si>
    <t>223443</t>
  </si>
  <si>
    <t>Giấy ra viện, GKS, CNPT</t>
  </si>
  <si>
    <t>244381</t>
  </si>
  <si>
    <t>Sun Nov 02 2025 07:00:00 GMT+0700 (Indochina Time); Có chấm công trong ngày nghỉ: 1/11/25 (In/Out: 07:40-15:33)</t>
  </si>
  <si>
    <t>247246</t>
  </si>
  <si>
    <t>207117</t>
  </si>
  <si>
    <t>237426</t>
  </si>
  <si>
    <t>229411</t>
  </si>
  <si>
    <t>232546</t>
  </si>
  <si>
    <t>245351</t>
  </si>
  <si>
    <t>IV</t>
  </si>
  <si>
    <t>Lao động nam, người chồng của lao động nữ mang thai hộ nghỉ việc khi vợ sinh con</t>
  </si>
  <si>
    <t>Trường hợp sinh thông thường</t>
  </si>
  <si>
    <t>249350</t>
  </si>
  <si>
    <t xml:space="preserve">Ngày sinh con: 02/11/2025
Số sổ BHXH của vợ: 2421071953</t>
  </si>
  <si>
    <t>Nam nghỉ việc khi vợ sinh</t>
  </si>
  <si>
    <t>Giấy ra viện, GKS, Giấy chứng sinh</t>
  </si>
  <si>
    <t>233402</t>
  </si>
  <si>
    <t xml:space="preserve">Ngày sinh con: 02/11/2025
Số sổ BHXH của vợ: 3016060250</t>
  </si>
  <si>
    <t>Trường hợp sinh con phải phẫu thuật, sinh con dưới 32 tuần tuổi</t>
  </si>
  <si>
    <t>250444</t>
  </si>
  <si>
    <t xml:space="preserve">Ngày sinh con: 23/10/2025
Số sổ BHXH của vợ: 3121497303</t>
  </si>
  <si>
    <t>251932</t>
  </si>
  <si>
    <t xml:space="preserve">Ngày sinh con: 28/10/2025
Số sổ BHXH của vợ: 2020555594</t>
  </si>
  <si>
    <t>C</t>
  </si>
  <si>
    <t xml:space="preserve">NGHỈ DƯỠNG SỨC PHỤC HỒI SỨC KHỎE </t>
  </si>
  <si>
    <t>Thai sản</t>
  </si>
  <si>
    <t>Dưỡng sức sau sinh thường</t>
  </si>
  <si>
    <t>237456</t>
  </si>
  <si>
    <t>13/11/2025</t>
  </si>
  <si>
    <t>Dưỡng sức sau sinh khác</t>
  </si>
  <si>
    <t>Form nghỉ dưỡng sức</t>
  </si>
  <si>
    <t>243542</t>
  </si>
  <si>
    <t>12/11/2025</t>
  </si>
  <si>
    <t>244831</t>
  </si>
  <si>
    <t>14/11/2025</t>
  </si>
  <si>
    <t>229396</t>
  </si>
  <si>
    <t>17/11/2025</t>
  </si>
  <si>
    <t>231202</t>
  </si>
  <si>
    <t>16/11/2025</t>
  </si>
  <si>
    <t>Dưỡng sức sau sinh phẫu thuật</t>
  </si>
  <si>
    <t>222183</t>
  </si>
  <si>
    <t>11/11/2025</t>
  </si>
  <si>
    <t>*Giải trình trong trường hợp nộp hồ sơ chậm:</t>
  </si>
  <si>
    <t>Bắc Giang, ngày 21 tháng 08 năm 2025</t>
  </si>
  <si>
    <t>KT/ Thủ trưởng đơn vị</t>
  </si>
  <si>
    <t>(Ký ghi rõ họ tên và đóng dấu hoặc ký số)</t>
  </si>
  <si>
    <t>NGUYỄN THỊ THOA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</si>
</sst>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2"/>
      <name val="Times New Roman"/>
    </font>
    <font>
      <family val="2"/>
      <scheme val="minor"/>
      <sz val="11"/>
      <name val="Calibri"/>
    </font>
    <font>
      <b/>
      <family val="1"/>
      <sz val="16"/>
      <name val="Times New Roman"/>
    </font>
    <font>
      <color rgb="FFFF0000"/>
      <family val="1"/>
      <sz val="12"/>
      <name val="Times New Roman"/>
    </font>
    <font>
      <b/>
      <color theme="1"/>
      <family val="2"/>
      <scheme val="minor"/>
      <sz val="11"/>
      <name val="Calibri"/>
    </font>
    <font>
      <i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2"/>
      <sz val="12"/>
      <name val="Arial"/>
    </font>
    <font>
      <i/>
      <color theme="1"/>
      <family val="1"/>
      <sz val="12"/>
      <name val="Times New Roman"/>
    </font>
    <font>
      <b/>
      <i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/>
      <top style="thin">
        <color indexed="64"/>
      </top>
      <bottom style="thin"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shrinkToFi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shrinkToFit="1"/>
    </xf>
    <xf numFmtId="14" fontId="5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49" fontId="6" fillId="0" borderId="7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/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3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14" fontId="1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9" xfId="0" applyFont="1" applyBorder="1" applyAlignment="1">
      <alignment vertical="center" shrinkToFit="1"/>
    </xf>
    <xf numFmtId="0" fontId="13" fillId="0" borderId="7" xfId="0" applyFont="1" applyBorder="1" applyAlignment="1">
      <alignment vertical="center" shrinkToFit="1"/>
    </xf>
    <xf numFmtId="0" fontId="1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0" xfId="0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1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3"/>
  <sheetViews>
    <sheetView workbookViewId="0" zoomScale="88" zoomScaleNormal="100">
      <selection activeCell="T9" sqref="T9"/>
    </sheetView>
  </sheetViews>
  <sheetFormatPr defaultRowHeight="16" outlineLevelRow="0" outlineLevelCol="0" x14ac:dyDescent="0" defaultColWidth="9.1640625" customHeight="1"/>
  <cols>
    <col min="1" max="1" width="6.1640625" style="1" customWidth="1"/>
    <col min="2" max="2" width="7.83203125" style="2" customWidth="1"/>
    <col min="3" max="3" width="33.83203125" style="3" customWidth="1"/>
    <col min="4" max="4" width="15.33203125" style="4" customWidth="1"/>
    <col min="5" max="6" width="16.5" style="5" customWidth="1"/>
    <col min="7" max="14" width="10" style="5" customWidth="1"/>
    <col min="15" max="15" width="8.33203125" style="4" customWidth="1"/>
    <col min="16" max="16" width="18.1640625" style="4" customWidth="1"/>
    <col min="17" max="17" width="32.6640625" style="6" customWidth="1"/>
    <col min="18" max="18" width="28.83203125" style="7" hidden="1" customWidth="1"/>
    <col min="19" max="19" width="33.83203125" style="8" customWidth="1"/>
    <col min="20" max="20" width="18.5" style="9" customWidth="1"/>
    <col min="21" max="21" width="17.5" style="10" customWidth="1"/>
    <col min="22" max="22" width="15.5" style="2" customWidth="1"/>
    <col min="23" max="23" width="14.83203125" style="1" customWidth="1"/>
    <col min="24" max="24" width="11.33203125" style="1" customWidth="1"/>
    <col min="25" max="16384" width="9.1640625" style="1" customWidth="1"/>
  </cols>
  <sheetData>
    <row r="1" ht="16.5" customHeight="1" spans="1:21" x14ac:dyDescent="0.25">
      <c r="A1" s="11" t="s">
        <v>0</v>
      </c>
      <c r="B1" s="12"/>
      <c r="C1" s="13"/>
      <c r="D1" s="14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4"/>
      <c r="Q1" s="15"/>
      <c r="R1" s="14"/>
      <c r="T1" s="12"/>
      <c r="U1" s="16"/>
    </row>
    <row r="2" ht="15.75" customHeight="1" spans="1:21" x14ac:dyDescent="0.25">
      <c r="A2" s="17" t="s">
        <v>1</v>
      </c>
      <c r="B2" s="18"/>
      <c r="C2" s="19"/>
      <c r="D2" s="20"/>
      <c r="E2" s="19"/>
      <c r="F2" s="8"/>
      <c r="G2" s="8"/>
      <c r="H2" s="8"/>
      <c r="I2" s="8"/>
      <c r="J2" s="8"/>
      <c r="K2" s="8"/>
      <c r="L2" s="8"/>
      <c r="M2" s="8"/>
      <c r="N2" s="8"/>
      <c r="O2" s="14"/>
      <c r="P2" s="14"/>
      <c r="Q2" s="15"/>
      <c r="R2" s="14"/>
      <c r="S2" s="13"/>
      <c r="T2" s="12"/>
      <c r="U2" s="16"/>
    </row>
    <row r="3" ht="15.75" customHeight="1" spans="1:21" x14ac:dyDescent="0.25">
      <c r="A3" s="17" t="s">
        <v>2</v>
      </c>
      <c r="B3" s="18"/>
      <c r="C3" s="19"/>
      <c r="D3" s="20"/>
      <c r="E3" s="19"/>
      <c r="F3" s="8"/>
      <c r="G3" s="8"/>
      <c r="H3" s="8"/>
      <c r="I3" s="8"/>
      <c r="J3" s="8"/>
      <c r="K3" s="8"/>
      <c r="L3" s="8"/>
      <c r="M3" s="8"/>
      <c r="N3" s="8"/>
      <c r="O3" s="14"/>
      <c r="P3" s="14"/>
      <c r="Q3" s="15"/>
      <c r="R3" s="14"/>
      <c r="S3" s="13"/>
      <c r="T3" s="12"/>
      <c r="U3" s="16"/>
    </row>
    <row r="4" ht="15.75" customHeight="1" spans="1:19" x14ac:dyDescent="0.25">
      <c r="A4" s="21"/>
      <c r="B4" s="22"/>
      <c r="S4" s="13" t="s">
        <v>3</v>
      </c>
    </row>
    <row r="5" ht="28.5" customHeight="1" spans="1:2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</row>
    <row r="6" ht="20.25" customHeight="1" spans="1:21" x14ac:dyDescent="0.25">
      <c r="A6" s="23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5"/>
      <c r="U6" s="24"/>
    </row>
    <row r="7" ht="18" customHeight="1" spans="1:21" x14ac:dyDescent="0.25">
      <c r="A7" s="21" t="s">
        <v>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2"/>
      <c r="U7" s="26"/>
    </row>
    <row r="8" ht="19.5" customHeight="1" spans="1:20" x14ac:dyDescent="0.25">
      <c r="A8" s="21" t="s">
        <v>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7"/>
    </row>
    <row r="9" ht="15.75" customHeight="1" spans="19:19" x14ac:dyDescent="0.25">
      <c r="S9" s="28"/>
    </row>
    <row r="10" ht="19.5" customHeight="1" spans="1:20" x14ac:dyDescent="0.25">
      <c r="A10" s="29" t="s">
        <v>8</v>
      </c>
      <c r="B10" s="30"/>
      <c r="S10" s="28"/>
      <c r="T10" s="31"/>
    </row>
    <row r="11" ht="15.75" customHeight="1" spans="19:19" x14ac:dyDescent="0.25">
      <c r="S11" s="1"/>
    </row>
    <row r="12" ht="21" customHeight="1" spans="1:21" x14ac:dyDescent="0.25">
      <c r="A12" s="32" t="s">
        <v>9</v>
      </c>
      <c r="B12" s="33" t="s">
        <v>10</v>
      </c>
      <c r="C12" s="34" t="s">
        <v>11</v>
      </c>
      <c r="D12" s="32" t="s">
        <v>12</v>
      </c>
      <c r="E12" s="35" t="s">
        <v>13</v>
      </c>
      <c r="F12" s="35" t="s">
        <v>14</v>
      </c>
      <c r="G12" s="36"/>
      <c r="H12" s="36"/>
      <c r="I12" s="36"/>
      <c r="J12" s="36"/>
      <c r="K12" s="36"/>
      <c r="L12" s="36"/>
      <c r="M12" s="36"/>
      <c r="N12" s="36"/>
      <c r="O12" s="32" t="s">
        <v>15</v>
      </c>
      <c r="P12" s="32" t="s">
        <v>16</v>
      </c>
      <c r="Q12" s="32" t="s">
        <v>17</v>
      </c>
      <c r="R12" s="32" t="s">
        <v>18</v>
      </c>
      <c r="S12" s="32" t="s">
        <v>19</v>
      </c>
      <c r="T12" s="37"/>
      <c r="U12" s="16"/>
    </row>
    <row r="13" ht="87.75" customHeight="1" spans="1:26" x14ac:dyDescent="0.25">
      <c r="A13" s="38">
        <v>1</v>
      </c>
      <c r="B13" s="39" t="s">
        <v>20</v>
      </c>
      <c r="C13" s="40" t="str">
        <f>VLOOKUP($B13,[1]Sheet1!$F$5:$G$69270,2,0)</f>
        <v>HOÀNG VĂN SƠN</v>
      </c>
      <c r="D13" s="38" t="str">
        <f>VLOOKUP($B13,'[2]Số sổ BHXH T05'!$B$11:$K$11515,4,0)</f>
        <v>2414002248</v>
      </c>
      <c r="E13" s="41">
        <v>45972</v>
      </c>
      <c r="F13" s="41">
        <v>45972</v>
      </c>
      <c r="G13" s="42">
        <f t="shared" ref="G13:G16" si="0">SUMPRODUCT(--(WEEKDAY(ROW(INDIRECT($E13:$E31&amp;":"&amp;$F13:$F28)),1)=1))</f>
        <v>0</v>
      </c>
      <c r="H13" s="42">
        <f t="shared" ref="H13:H16" si="1">SUMPRODUCT(--(WEEKDAY(ROW(INDIRECT($E13:$E31&amp;":"&amp;$F13:$F28)),1)=2))</f>
        <v>0</v>
      </c>
      <c r="I13" s="42">
        <f t="shared" ref="I13:I16" si="2">SUMPRODUCT(--(WEEKDAY(ROW(INDIRECT($E13:$E31&amp;":"&amp;$F13:$F28)),1)=3))</f>
        <v>1</v>
      </c>
      <c r="J13" s="42">
        <f t="shared" ref="J13:J16" si="3">SUMPRODUCT(--(WEEKDAY(ROW(INDIRECT($E13:$E31&amp;":"&amp;$F13:$F28)),1)=4))</f>
        <v>0</v>
      </c>
      <c r="K13" s="42">
        <f t="shared" ref="K13:K16" si="4">SUMPRODUCT(--(WEEKDAY(ROW(INDIRECT($E13:$E31&amp;":"&amp;$F13:$F28)),1)=5))</f>
        <v>0</v>
      </c>
      <c r="L13" s="42">
        <f t="shared" ref="L13:L16" si="5">SUMPRODUCT(--(WEEKDAY(ROW(INDIRECT($E13:$E31&amp;":"&amp;$F13:$F28)),1)=6))</f>
        <v>0</v>
      </c>
      <c r="M13" s="42">
        <f t="shared" ref="M13:M16" si="6">SUMPRODUCT(--(WEEKDAY(ROW(INDIRECT($E13:$E31&amp;":"&amp;$F13:$F28)),1)=7))</f>
        <v>0</v>
      </c>
      <c r="N13" s="42">
        <f t="shared" ref="N13:N42" si="7">SUM(H13:M13)</f>
        <v>1</v>
      </c>
      <c r="O13" s="38">
        <f>F13-E13+1</f>
        <v>1</v>
      </c>
      <c r="P13" s="38"/>
      <c r="Q13" s="43" t="str">
        <f>VLOOKUP($B13,'[2]T01.2025'!C3:F7356,4,0)</f>
        <v>1045677409</v>
      </c>
      <c r="R13" s="43"/>
      <c r="S13" s="44" t="s">
        <v>21</v>
      </c>
      <c r="T13" s="8" t="s">
        <v>22</v>
      </c>
      <c r="U13" s="1" t="s">
        <v>23</v>
      </c>
      <c r="V13" s="2" t="s">
        <v>24</v>
      </c>
      <c r="W13" s="2">
        <f>N13-O13</f>
        <v>0</v>
      </c>
      <c r="Z13" s="43" t="str">
        <f>VLOOKUP($B13,'[2]Số sổ BHXH T05'!$B$11:$K$11515,10,0)</f>
        <v>Công nhân vận hành máy may công nghiệp</v>
      </c>
    </row>
    <row r="14" ht="47.25" customHeight="1" spans="1:26" x14ac:dyDescent="0.25">
      <c r="A14" s="38">
        <v>2</v>
      </c>
      <c r="B14" s="39" t="s">
        <v>25</v>
      </c>
      <c r="C14" s="40" t="str">
        <f>VLOOKUP($B14,[1]Sheet1!$F$5:$G$69270,2,0)</f>
        <v>LƯƠNG QUANG HƯỚNG</v>
      </c>
      <c r="D14" s="38" t="str">
        <f>VLOOKUP($B14,'[2]Số sổ BHXH T05'!$B$11:$K$11515,4,0)</f>
        <v>2020222337</v>
      </c>
      <c r="E14" s="41">
        <v>45973</v>
      </c>
      <c r="F14" s="41">
        <v>45973</v>
      </c>
      <c r="G14" s="42">
        <f t="shared" si="0"/>
        <v>0</v>
      </c>
      <c r="H14" s="42">
        <f t="shared" si="1"/>
        <v>0</v>
      </c>
      <c r="I14" s="42">
        <f t="shared" si="2"/>
        <v>0</v>
      </c>
      <c r="J14" s="42">
        <f t="shared" si="3"/>
        <v>1</v>
      </c>
      <c r="K14" s="42">
        <f t="shared" si="4"/>
        <v>0</v>
      </c>
      <c r="L14" s="42">
        <f t="shared" si="5"/>
        <v>0</v>
      </c>
      <c r="M14" s="42">
        <f t="shared" si="6"/>
        <v>0</v>
      </c>
      <c r="N14" s="42">
        <f t="shared" si="7"/>
        <v>1</v>
      </c>
      <c r="O14" s="38">
        <f t="shared" ref="O14:O42" si="8">F14-E14+1</f>
        <v>1</v>
      </c>
      <c r="P14" s="38"/>
      <c r="Q14" s="43" t="str">
        <f>VLOOKUP($B14,'[2]T01.2025'!C4:F7357,4,0)</f>
        <v>1043486389</v>
      </c>
      <c r="R14" s="43"/>
      <c r="S14" s="44"/>
      <c r="T14" s="8" t="s">
        <v>22</v>
      </c>
      <c r="U14" s="1" t="s">
        <v>23</v>
      </c>
      <c r="V14" s="2" t="s">
        <v>26</v>
      </c>
      <c r="W14" s="2">
        <f t="shared" ref="W14:W42" si="9">N14-O14</f>
        <v>0</v>
      </c>
      <c r="Z14" s="43" t="str">
        <f>VLOOKUP($B14,'[2]Số sổ BHXH T05'!$B$11:$K$11515,10,0)</f>
        <v>Công nhân vận hành máy may công nghiệp</v>
      </c>
    </row>
    <row r="15" ht="47.25" customHeight="1" spans="1:26" x14ac:dyDescent="0.25">
      <c r="A15" s="38">
        <v>3</v>
      </c>
      <c r="B15" s="39" t="s">
        <v>27</v>
      </c>
      <c r="C15" s="40" t="str">
        <f>VLOOKUP($B15,[1]Sheet1!$F$5:$G$69270,2,0)</f>
        <v>NGUYỄN ĐÌNH LONG</v>
      </c>
      <c r="D15" s="38" t="str">
        <f>VLOOKUP($B15,'[2]Số sổ BHXH T05'!$B$11:$K$11515,4,0)</f>
        <v>4023165391</v>
      </c>
      <c r="E15" s="41">
        <v>45966</v>
      </c>
      <c r="F15" s="41">
        <v>45967</v>
      </c>
      <c r="G15" s="42">
        <f t="shared" si="0"/>
        <v>0</v>
      </c>
      <c r="H15" s="42">
        <f t="shared" si="1"/>
        <v>0</v>
      </c>
      <c r="I15" s="42">
        <f t="shared" si="2"/>
        <v>0</v>
      </c>
      <c r="J15" s="42">
        <f t="shared" si="3"/>
        <v>1</v>
      </c>
      <c r="K15" s="42">
        <f t="shared" si="4"/>
        <v>1</v>
      </c>
      <c r="L15" s="42">
        <f t="shared" si="5"/>
        <v>0</v>
      </c>
      <c r="M15" s="42">
        <f t="shared" si="6"/>
        <v>0</v>
      </c>
      <c r="N15" s="42">
        <f t="shared" si="7"/>
        <v>2</v>
      </c>
      <c r="O15" s="38">
        <f t="shared" si="8"/>
        <v>2</v>
      </c>
      <c r="P15" s="38"/>
      <c r="Q15" s="43" t="str">
        <f>VLOOKUP($B15,'[2]T01.2025'!C5:F7358,4,0)</f>
        <v>0411001026069</v>
      </c>
      <c r="R15" s="43"/>
      <c r="S15" s="44"/>
      <c r="T15" s="8" t="s">
        <v>22</v>
      </c>
      <c r="U15" s="1" t="s">
        <v>23</v>
      </c>
      <c r="V15" s="2" t="s">
        <v>27</v>
      </c>
      <c r="W15" s="2">
        <f t="shared" si="9"/>
        <v>0</v>
      </c>
      <c r="Z15" s="43" t="str">
        <f>VLOOKUP($B15,'[2]Số sổ BHXH T05'!$B$11:$K$11515,10,0)</f>
        <v>Công nhân vận hành máy may công nghiệp</v>
      </c>
    </row>
    <row r="16" ht="60.75" customHeight="1" spans="1:26" x14ac:dyDescent="0.25">
      <c r="A16" s="38">
        <v>4</v>
      </c>
      <c r="B16" s="39" t="s">
        <v>28</v>
      </c>
      <c r="C16" s="40" t="str">
        <f>VLOOKUP($B16,[1]Sheet1!$F$5:$G$69270,2,0)</f>
        <v>HOÀNG VĂN DŨNG</v>
      </c>
      <c r="D16" s="38" t="str">
        <f>VLOOKUP($B16,'[2]Số sổ BHXH T05'!$B$11:$K$11515,4,0)</f>
        <v>2422398595</v>
      </c>
      <c r="E16" s="41">
        <v>45973</v>
      </c>
      <c r="F16" s="41">
        <v>45973</v>
      </c>
      <c r="G16" s="42">
        <f t="shared" si="0"/>
        <v>0</v>
      </c>
      <c r="H16" s="42">
        <f t="shared" si="1"/>
        <v>0</v>
      </c>
      <c r="I16" s="42">
        <f t="shared" si="2"/>
        <v>0</v>
      </c>
      <c r="J16" s="42">
        <f t="shared" si="3"/>
        <v>1</v>
      </c>
      <c r="K16" s="42">
        <f t="shared" si="4"/>
        <v>0</v>
      </c>
      <c r="L16" s="42">
        <f t="shared" si="5"/>
        <v>0</v>
      </c>
      <c r="M16" s="42">
        <f t="shared" si="6"/>
        <v>0</v>
      </c>
      <c r="N16" s="42">
        <f t="shared" si="7"/>
        <v>1</v>
      </c>
      <c r="O16" s="38">
        <f t="shared" si="8"/>
        <v>1</v>
      </c>
      <c r="P16" s="38"/>
      <c r="Q16" s="43" t="str">
        <f>VLOOKUP($B16,'[2]T01.2025'!C6:F7359,4,0)</f>
        <v>1014667396</v>
      </c>
      <c r="R16" s="43"/>
      <c r="S16" s="44"/>
      <c r="T16" s="8" t="s">
        <v>22</v>
      </c>
      <c r="U16" s="1" t="s">
        <v>23</v>
      </c>
      <c r="V16" s="2" t="s">
        <v>29</v>
      </c>
      <c r="W16" s="2">
        <f t="shared" si="9"/>
        <v>0</v>
      </c>
      <c r="Z16" s="43" t="str">
        <f>VLOOKUP($B16,'[2]Số sổ BHXH T05'!$B$11:$K$11515,10,0)</f>
        <v>Công nhân vận hành máy may công nghiệp</v>
      </c>
    </row>
    <row r="17" ht="27.75" customHeight="1" spans="1:26" x14ac:dyDescent="0.25">
      <c r="A17" s="38">
        <v>5</v>
      </c>
      <c r="B17" s="39" t="s">
        <v>30</v>
      </c>
      <c r="C17" s="40" t="str">
        <f>VLOOKUP($B17,[1]Sheet1!$F$5:$G$69270,2,0)</f>
        <v>PHẠM THỊ NGA</v>
      </c>
      <c r="D17" s="38" t="str">
        <f>VLOOKUP($B17,'[2]Số sổ BHXH T05'!$B$11:$K$11515,4,0)</f>
        <v>0124062124</v>
      </c>
      <c r="E17" s="41">
        <v>45973</v>
      </c>
      <c r="F17" s="41">
        <v>45973</v>
      </c>
      <c r="G17" s="42">
        <f>SUMPRODUCT(--(WEEKDAY(ROW(INDIRECT($E17:$E40&amp;":"&amp;$F17:$F32)),1)=1))</f>
        <v>0</v>
      </c>
      <c r="H17" s="42">
        <f>SUMPRODUCT(--(WEEKDAY(ROW(INDIRECT($E17:$E40&amp;":"&amp;$F17:$F32)),1)=2))</f>
        <v>0</v>
      </c>
      <c r="I17" s="42">
        <f>SUMPRODUCT(--(WEEKDAY(ROW(INDIRECT($E17:$E40&amp;":"&amp;$F17:$F32)),1)=3))</f>
        <v>0</v>
      </c>
      <c r="J17" s="42">
        <f>SUMPRODUCT(--(WEEKDAY(ROW(INDIRECT($E17:$E40&amp;":"&amp;$F17:$F32)),1)=4))</f>
        <v>1</v>
      </c>
      <c r="K17" s="42">
        <f>SUMPRODUCT(--(WEEKDAY(ROW(INDIRECT($E17:$E40&amp;":"&amp;$F17:$F32)),1)=5))</f>
        <v>0</v>
      </c>
      <c r="L17" s="42">
        <f>SUMPRODUCT(--(WEEKDAY(ROW(INDIRECT($E17:$E40&amp;":"&amp;$F17:$F32)),1)=6))</f>
        <v>0</v>
      </c>
      <c r="M17" s="42">
        <f>SUMPRODUCT(--(WEEKDAY(ROW(INDIRECT($E17:$E40&amp;":"&amp;$F17:$F32)),1)=7))</f>
        <v>0</v>
      </c>
      <c r="N17" s="42">
        <f t="shared" si="7"/>
        <v>1</v>
      </c>
      <c r="O17" s="38">
        <f t="shared" si="8"/>
        <v>1</v>
      </c>
      <c r="P17" s="38"/>
      <c r="Q17" s="43" t="str">
        <f>VLOOKUP($B17,'[2]T01.2025'!C7:F7360,4,0)</f>
        <v>1017524666</v>
      </c>
      <c r="R17" s="43"/>
      <c r="S17" s="44"/>
      <c r="T17" s="8" t="s">
        <v>22</v>
      </c>
      <c r="U17" s="1" t="s">
        <v>23</v>
      </c>
      <c r="V17" s="2" t="s">
        <v>31</v>
      </c>
      <c r="W17" s="2">
        <f t="shared" si="9"/>
        <v>0</v>
      </c>
      <c r="Z17" s="43" t="str">
        <f>VLOOKUP($B17,'[2]Số sổ BHXH T05'!$B$11:$K$11515,10,0)</f>
        <v>Công nhân vận hành máy may công nghiệp</v>
      </c>
    </row>
    <row r="18" ht="27.75" customHeight="1" spans="1:26" x14ac:dyDescent="0.25">
      <c r="A18" s="38">
        <v>6</v>
      </c>
      <c r="B18" s="39" t="s">
        <v>32</v>
      </c>
      <c r="C18" s="40" t="str">
        <f>VLOOKUP($B18,[1]Sheet1!$F$5:$G$69270,2,0)</f>
        <v>NGUYỄN THỊ THÙY</v>
      </c>
      <c r="D18" s="38" t="str">
        <f>VLOOKUP($B18,'[2]Số sổ BHXH T05'!$B$11:$K$11515,4,0)</f>
        <v>2421356613</v>
      </c>
      <c r="E18" s="41">
        <v>45972</v>
      </c>
      <c r="F18" s="41">
        <v>45973</v>
      </c>
      <c r="G18" s="42">
        <f>SUMPRODUCT(--(WEEKDAY(ROW(INDIRECT($E18:$E35&amp;":"&amp;$F18:$F33)),1)=1))</f>
        <v>0</v>
      </c>
      <c r="H18" s="42">
        <f>SUMPRODUCT(--(WEEKDAY(ROW(INDIRECT($E18:$E35&amp;":"&amp;$F18:$F33)),1)=2))</f>
        <v>0</v>
      </c>
      <c r="I18" s="42">
        <f>SUMPRODUCT(--(WEEKDAY(ROW(INDIRECT($E18:$E35&amp;":"&amp;$F18:$F33)),1)=3))</f>
        <v>1</v>
      </c>
      <c r="J18" s="42">
        <f>SUMPRODUCT(--(WEEKDAY(ROW(INDIRECT($E18:$E35&amp;":"&amp;$F18:$F33)),1)=4))</f>
        <v>1</v>
      </c>
      <c r="K18" s="42">
        <f>SUMPRODUCT(--(WEEKDAY(ROW(INDIRECT($E18:$E35&amp;":"&amp;$F18:$F33)),1)=5))</f>
        <v>0</v>
      </c>
      <c r="L18" s="42">
        <f>SUMPRODUCT(--(WEEKDAY(ROW(INDIRECT($E18:$E35&amp;":"&amp;$F18:$F33)),1)=6))</f>
        <v>0</v>
      </c>
      <c r="M18" s="42">
        <f>SUMPRODUCT(--(WEEKDAY(ROW(INDIRECT($E18:$E35&amp;":"&amp;$F18:$F33)),1)=7))</f>
        <v>0</v>
      </c>
      <c r="N18" s="42">
        <f t="shared" si="7"/>
        <v>2</v>
      </c>
      <c r="O18" s="38">
        <f t="shared" si="8"/>
        <v>2</v>
      </c>
      <c r="P18" s="38"/>
      <c r="Q18" s="43" t="str">
        <f>VLOOKUP($B18,'[2]T01.2025'!C8:F7361,4,0)</f>
        <v>0351001115252</v>
      </c>
      <c r="R18" s="43"/>
      <c r="S18" s="44"/>
      <c r="T18" s="8" t="s">
        <v>22</v>
      </c>
      <c r="U18" s="1" t="s">
        <v>23</v>
      </c>
      <c r="V18" s="2" t="s">
        <v>33</v>
      </c>
      <c r="W18" s="2">
        <f t="shared" si="9"/>
        <v>0</v>
      </c>
      <c r="Z18" s="43" t="str">
        <f>VLOOKUP($B18,'[2]Số sổ BHXH T05'!$B$11:$K$11515,10,0)</f>
        <v>Công nhân vận hành máy may công nghiệp</v>
      </c>
    </row>
    <row r="19" ht="27.75" customHeight="1" spans="1:26" x14ac:dyDescent="0.25">
      <c r="A19" s="38">
        <v>7</v>
      </c>
      <c r="B19" s="39" t="s">
        <v>34</v>
      </c>
      <c r="C19" s="40" t="str">
        <f>VLOOKUP($B19,[1]Sheet1!$F$5:$G$69270,2,0)</f>
        <v>ĐỖ XUÂN BIÊN</v>
      </c>
      <c r="D19" s="38" t="str">
        <f>VLOOKUP($B19,'[2]Số sổ BHXH T05'!$B$11:$K$11515,4,0)</f>
        <v>2421468955</v>
      </c>
      <c r="E19" s="41">
        <v>45972</v>
      </c>
      <c r="F19" s="41">
        <v>45972</v>
      </c>
      <c r="G19" s="42">
        <f>SUMPRODUCT(--(WEEKDAY(ROW(INDIRECT($E19:$E36&amp;":"&amp;$F19:$F34)),1)=1))</f>
        <v>0</v>
      </c>
      <c r="H19" s="42">
        <f>SUMPRODUCT(--(WEEKDAY(ROW(INDIRECT($E19:$E36&amp;":"&amp;$F19:$F34)),1)=2))</f>
        <v>0</v>
      </c>
      <c r="I19" s="42">
        <f>SUMPRODUCT(--(WEEKDAY(ROW(INDIRECT($E19:$E36&amp;":"&amp;$F19:$F34)),1)=3))</f>
        <v>1</v>
      </c>
      <c r="J19" s="42">
        <f>SUMPRODUCT(--(WEEKDAY(ROW(INDIRECT($E19:$E36&amp;":"&amp;$F19:$F34)),1)=4))</f>
        <v>0</v>
      </c>
      <c r="K19" s="42">
        <f>SUMPRODUCT(--(WEEKDAY(ROW(INDIRECT($E19:$E36&amp;":"&amp;$F19:$F34)),1)=5))</f>
        <v>0</v>
      </c>
      <c r="L19" s="42">
        <f>SUMPRODUCT(--(WEEKDAY(ROW(INDIRECT($E19:$E36&amp;":"&amp;$F19:$F34)),1)=6))</f>
        <v>0</v>
      </c>
      <c r="M19" s="42">
        <f>SUMPRODUCT(--(WEEKDAY(ROW(INDIRECT($E19:$E36&amp;":"&amp;$F19:$F34)),1)=7))</f>
        <v>0</v>
      </c>
      <c r="N19" s="42">
        <f t="shared" si="7"/>
        <v>1</v>
      </c>
      <c r="O19" s="38">
        <f t="shared" si="8"/>
        <v>1</v>
      </c>
      <c r="P19" s="38"/>
      <c r="Q19" s="43" t="str">
        <f>VLOOKUP($B19,'[2]T01.2025'!C9:F7362,4,0)</f>
        <v>1048715376</v>
      </c>
      <c r="R19" s="43"/>
      <c r="S19" s="44"/>
      <c r="T19" s="8" t="s">
        <v>22</v>
      </c>
      <c r="U19" s="1" t="s">
        <v>23</v>
      </c>
      <c r="V19" s="2" t="s">
        <v>35</v>
      </c>
      <c r="W19" s="2">
        <f t="shared" si="9"/>
        <v>0</v>
      </c>
      <c r="Z19" s="43" t="str">
        <f>VLOOKUP($B19,'[2]Số sổ BHXH T05'!$B$11:$K$11515,10,0)</f>
        <v>Công nhân vận hành máy may công nghiệp</v>
      </c>
    </row>
    <row r="20" ht="27.75" customHeight="1" spans="1:26" x14ac:dyDescent="0.25">
      <c r="A20" s="38">
        <v>8</v>
      </c>
      <c r="B20" s="39" t="s">
        <v>36</v>
      </c>
      <c r="C20" s="40" t="str">
        <f>VLOOKUP($B20,[1]Sheet1!$F$5:$G$69270,2,0)</f>
        <v>BÙI VĂN TÚ</v>
      </c>
      <c r="D20" s="38" t="str">
        <f>VLOOKUP($B20,'[2]Số sổ BHXH T05'!$B$11:$K$11515,4,0)</f>
        <v>2420140529</v>
      </c>
      <c r="E20" s="41">
        <v>45972</v>
      </c>
      <c r="F20" s="41">
        <v>45972</v>
      </c>
      <c r="G20" s="42">
        <f>SUMPRODUCT(--(WEEKDAY(ROW(INDIRECT($E20:$E37&amp;":"&amp;$F20:$F40)),1)=1))</f>
        <v>0</v>
      </c>
      <c r="H20" s="42">
        <f>SUMPRODUCT(--(WEEKDAY(ROW(INDIRECT($E20:$E37&amp;":"&amp;$F20:$F40)),1)=2))</f>
        <v>0</v>
      </c>
      <c r="I20" s="42">
        <f>SUMPRODUCT(--(WEEKDAY(ROW(INDIRECT($E20:$E37&amp;":"&amp;$F20:$F40)),1)=3))</f>
        <v>1</v>
      </c>
      <c r="J20" s="42">
        <f>SUMPRODUCT(--(WEEKDAY(ROW(INDIRECT($E20:$E37&amp;":"&amp;$F20:$F40)),1)=4))</f>
        <v>0</v>
      </c>
      <c r="K20" s="42">
        <f>SUMPRODUCT(--(WEEKDAY(ROW(INDIRECT($E20:$E37&amp;":"&amp;$F20:$F40)),1)=5))</f>
        <v>0</v>
      </c>
      <c r="L20" s="42">
        <f>SUMPRODUCT(--(WEEKDAY(ROW(INDIRECT($E20:$E37&amp;":"&amp;$F20:$F40)),1)=6))</f>
        <v>0</v>
      </c>
      <c r="M20" s="42">
        <f>SUMPRODUCT(--(WEEKDAY(ROW(INDIRECT($E20:$E37&amp;":"&amp;$F20:$F40)),1)=7))</f>
        <v>0</v>
      </c>
      <c r="N20" s="42">
        <f t="shared" si="7"/>
        <v>1</v>
      </c>
      <c r="O20" s="38">
        <f t="shared" si="8"/>
        <v>1</v>
      </c>
      <c r="P20" s="38"/>
      <c r="Q20" s="43" t="str">
        <f>VLOOKUP($B20,'[2]T01.2025'!C10:F7363,4,0)</f>
        <v>1963864703</v>
      </c>
      <c r="R20" s="43"/>
      <c r="S20" s="44"/>
      <c r="T20" s="8" t="s">
        <v>22</v>
      </c>
      <c r="U20" s="1" t="s">
        <v>23</v>
      </c>
      <c r="V20" s="2" t="s">
        <v>37</v>
      </c>
      <c r="W20" s="2">
        <f t="shared" si="9"/>
        <v>0</v>
      </c>
      <c r="Z20" s="43" t="str">
        <f>VLOOKUP($B20,'[2]Số sổ BHXH T05'!$B$11:$K$11515,10,0)</f>
        <v>Công nhân cắt phá, cắt gọt</v>
      </c>
    </row>
    <row r="21" ht="48" customHeight="1" spans="1:26" x14ac:dyDescent="0.25">
      <c r="A21" s="38">
        <v>9</v>
      </c>
      <c r="B21" s="39" t="s">
        <v>38</v>
      </c>
      <c r="C21" s="40" t="str">
        <f>VLOOKUP($B21,[1]Sheet1!$F$5:$G$69270,2,0)</f>
        <v>NGUYỄN VĂN TỰA</v>
      </c>
      <c r="D21" s="38" t="s">
        <v>39</v>
      </c>
      <c r="E21" s="41">
        <v>45974</v>
      </c>
      <c r="F21" s="41">
        <v>45974</v>
      </c>
      <c r="G21" s="42">
        <f>SUMPRODUCT(--(WEEKDAY(ROW(INDIRECT($E21:$E41&amp;":"&amp;$F21:$F35)),1)=1))</f>
        <v>0</v>
      </c>
      <c r="H21" s="42">
        <f>SUMPRODUCT(--(WEEKDAY(ROW(INDIRECT($E21:$E41&amp;":"&amp;$F21:$F35)),1)=2))</f>
        <v>0</v>
      </c>
      <c r="I21" s="42">
        <f>SUMPRODUCT(--(WEEKDAY(ROW(INDIRECT($E21:$E41&amp;":"&amp;$F21:$F35)),1)=3))</f>
        <v>0</v>
      </c>
      <c r="J21" s="42">
        <f>SUMPRODUCT(--(WEEKDAY(ROW(INDIRECT($E21:$E41&amp;":"&amp;$F21:$F35)),1)=4))</f>
        <v>0</v>
      </c>
      <c r="K21" s="42">
        <f>SUMPRODUCT(--(WEEKDAY(ROW(INDIRECT($E21:$E41&amp;":"&amp;$F21:$F35)),1)=5))</f>
        <v>1</v>
      </c>
      <c r="L21" s="42">
        <f>SUMPRODUCT(--(WEEKDAY(ROW(INDIRECT($E21:$E41&amp;":"&amp;$F21:$F35)),1)=6))</f>
        <v>0</v>
      </c>
      <c r="M21" s="42">
        <f>SUMPRODUCT(--(WEEKDAY(ROW(INDIRECT($E21:$E41&amp;":"&amp;$F21:$F35)),1)=7))</f>
        <v>0</v>
      </c>
      <c r="N21" s="42">
        <f t="shared" si="7"/>
        <v>1</v>
      </c>
      <c r="O21" s="38">
        <f t="shared" si="8"/>
        <v>1</v>
      </c>
      <c r="P21" s="38"/>
      <c r="Q21" s="43">
        <v>1041943894</v>
      </c>
      <c r="R21" s="43"/>
      <c r="S21" s="44"/>
      <c r="T21" s="8" t="s">
        <v>22</v>
      </c>
      <c r="U21" s="1" t="s">
        <v>23</v>
      </c>
      <c r="V21" s="2" t="s">
        <v>40</v>
      </c>
      <c r="W21" s="2">
        <f t="shared" si="9"/>
        <v>0</v>
      </c>
      <c r="Z21" s="43" t="e">
        <f>VLOOKUP($B21,'[2]Số sổ BHXH T05'!$B$11:$K$11515,10,0)</f>
        <v>#N/A</v>
      </c>
    </row>
    <row r="22" ht="52.5" customHeight="1" spans="1:26" x14ac:dyDescent="0.25">
      <c r="A22" s="38">
        <v>10</v>
      </c>
      <c r="B22" s="39" t="s">
        <v>41</v>
      </c>
      <c r="C22" s="40" t="str">
        <f>VLOOKUP($B22,[1]Sheet1!$F$5:$G$69270,2,0)</f>
        <v>NGUYỄN THỊ DUNG</v>
      </c>
      <c r="D22" s="38" t="str">
        <f>VLOOKUP($B22,'[2]Số sổ BHXH T05'!$B$11:$K$11515,4,0)</f>
        <v>2422374879</v>
      </c>
      <c r="E22" s="41">
        <v>45968</v>
      </c>
      <c r="F22" s="41">
        <v>45968</v>
      </c>
      <c r="G22" s="42">
        <f>SUMPRODUCT(--(WEEKDAY(ROW(INDIRECT($E22:$E38&amp;":"&amp;$F22:$F36)),1)=1))</f>
        <v>0</v>
      </c>
      <c r="H22" s="42">
        <f>SUMPRODUCT(--(WEEKDAY(ROW(INDIRECT($E22:$E38&amp;":"&amp;$F22:$F36)),1)=2))</f>
        <v>0</v>
      </c>
      <c r="I22" s="42">
        <f>SUMPRODUCT(--(WEEKDAY(ROW(INDIRECT($E22:$E38&amp;":"&amp;$F22:$F36)),1)=3))</f>
        <v>0</v>
      </c>
      <c r="J22" s="42">
        <f>SUMPRODUCT(--(WEEKDAY(ROW(INDIRECT($E22:$E38&amp;":"&amp;$F22:$F36)),1)=4))</f>
        <v>0</v>
      </c>
      <c r="K22" s="42">
        <f>SUMPRODUCT(--(WEEKDAY(ROW(INDIRECT($E22:$E38&amp;":"&amp;$F22:$F36)),1)=5))</f>
        <v>0</v>
      </c>
      <c r="L22" s="42">
        <f>SUMPRODUCT(--(WEEKDAY(ROW(INDIRECT($E22:$E38&amp;":"&amp;$F22:$F36)),1)=6))</f>
        <v>1</v>
      </c>
      <c r="M22" s="42">
        <f>SUMPRODUCT(--(WEEKDAY(ROW(INDIRECT($E22:$E38&amp;":"&amp;$F22:$F36)),1)=7))</f>
        <v>0</v>
      </c>
      <c r="N22" s="42">
        <f t="shared" si="7"/>
        <v>1</v>
      </c>
      <c r="O22" s="38">
        <f t="shared" si="8"/>
        <v>1</v>
      </c>
      <c r="P22" s="38"/>
      <c r="Q22" s="43" t="str">
        <f>VLOOKUP($B22,'[2]T01.2025'!C12:F7365,4,0)</f>
        <v>1045014842</v>
      </c>
      <c r="R22" s="43"/>
      <c r="S22" s="44"/>
      <c r="T22" s="8" t="s">
        <v>22</v>
      </c>
      <c r="U22" s="1" t="s">
        <v>23</v>
      </c>
      <c r="V22" s="2" t="s">
        <v>42</v>
      </c>
      <c r="W22" s="2">
        <f t="shared" si="9"/>
        <v>0</v>
      </c>
      <c r="Z22" s="43" t="str">
        <f>VLOOKUP($B22,'[2]Số sổ BHXH T05'!$B$11:$K$11515,10,0)</f>
        <v>Công nhân vận hành máy may công nghiệp</v>
      </c>
    </row>
    <row r="23" ht="27.75" customHeight="1" spans="1:26" x14ac:dyDescent="0.25">
      <c r="A23" s="38">
        <v>11</v>
      </c>
      <c r="B23" s="39" t="s">
        <v>43</v>
      </c>
      <c r="C23" s="40" t="str">
        <f>VLOOKUP($B23,[1]Sheet1!$F$5:$G$69270,2,0)</f>
        <v>GIÁP VĂN TRƯỜNG</v>
      </c>
      <c r="D23" s="38" t="str">
        <f>VLOOKUP($B23,'[2]Số sổ BHXH T05'!$B$11:$K$11515,4,0)</f>
        <v>2413013958</v>
      </c>
      <c r="E23" s="41">
        <v>45974</v>
      </c>
      <c r="F23" s="41">
        <v>45974</v>
      </c>
      <c r="G23" s="42">
        <f>SUMPRODUCT(--(WEEKDAY(ROW(INDIRECT($E23:$E39&amp;":"&amp;$F23:$F37)),1)=1))</f>
        <v>0</v>
      </c>
      <c r="H23" s="42">
        <f>SUMPRODUCT(--(WEEKDAY(ROW(INDIRECT($E23:$E39&amp;":"&amp;$F23:$F37)),1)=2))</f>
        <v>0</v>
      </c>
      <c r="I23" s="42">
        <f>SUMPRODUCT(--(WEEKDAY(ROW(INDIRECT($E23:$E39&amp;":"&amp;$F23:$F37)),1)=3))</f>
        <v>0</v>
      </c>
      <c r="J23" s="42">
        <f>SUMPRODUCT(--(WEEKDAY(ROW(INDIRECT($E23:$E39&amp;":"&amp;$F23:$F37)),1)=4))</f>
        <v>0</v>
      </c>
      <c r="K23" s="42">
        <f>SUMPRODUCT(--(WEEKDAY(ROW(INDIRECT($E23:$E39&amp;":"&amp;$F23:$F37)),1)=5))</f>
        <v>1</v>
      </c>
      <c r="L23" s="42">
        <f>SUMPRODUCT(--(WEEKDAY(ROW(INDIRECT($E23:$E39&amp;":"&amp;$F23:$F37)),1)=6))</f>
        <v>0</v>
      </c>
      <c r="M23" s="42">
        <f>SUMPRODUCT(--(WEEKDAY(ROW(INDIRECT($E23:$E39&amp;":"&amp;$F23:$F37)),1)=7))</f>
        <v>0</v>
      </c>
      <c r="N23" s="42">
        <f t="shared" si="7"/>
        <v>1</v>
      </c>
      <c r="O23" s="38">
        <f t="shared" si="8"/>
        <v>1</v>
      </c>
      <c r="P23" s="38"/>
      <c r="Q23" s="43" t="str">
        <f>VLOOKUP($B23,'[2]T01.2025'!C13:F7366,4,0)</f>
        <v>0351000951465</v>
      </c>
      <c r="R23" s="43"/>
      <c r="S23" s="44" t="s">
        <v>44</v>
      </c>
      <c r="T23" s="8" t="s">
        <v>22</v>
      </c>
      <c r="U23" s="1" t="s">
        <v>23</v>
      </c>
      <c r="V23" s="2" t="s">
        <v>45</v>
      </c>
      <c r="W23" s="2">
        <f t="shared" si="9"/>
        <v>0</v>
      </c>
      <c r="Z23" s="43" t="str">
        <f>VLOOKUP($B23,'[2]Số sổ BHXH T05'!$B$11:$K$11515,10,0)</f>
        <v>Công nhân vận hành máy may công nghiệp</v>
      </c>
    </row>
    <row r="24" ht="54" customHeight="1" spans="1:26" x14ac:dyDescent="0.25">
      <c r="A24" s="38">
        <v>12</v>
      </c>
      <c r="B24" s="39" t="s">
        <v>46</v>
      </c>
      <c r="C24" s="40" t="str">
        <f>VLOOKUP($B24,[1]Sheet1!$F$5:$G$69270,2,0)</f>
        <v>LỤC THỊ THUẬN</v>
      </c>
      <c r="D24" s="38" t="str">
        <f>VLOOKUP($B24,'[2]Số sổ BHXH T05'!$B$11:$K$11515,4,0)</f>
        <v>2713087080</v>
      </c>
      <c r="E24" s="41">
        <v>45964</v>
      </c>
      <c r="F24" s="41">
        <v>45968</v>
      </c>
      <c r="G24" s="42">
        <f>SUMPRODUCT(--(WEEKDAY(ROW(INDIRECT($E24:$E42&amp;":"&amp;$F24:$F41)),1)=1))</f>
        <v>0</v>
      </c>
      <c r="H24" s="42">
        <f>SUMPRODUCT(--(WEEKDAY(ROW(INDIRECT($E24:$E42&amp;":"&amp;$F24:$F41)),1)=2))</f>
        <v>1</v>
      </c>
      <c r="I24" s="42">
        <f>SUMPRODUCT(--(WEEKDAY(ROW(INDIRECT($E24:$E42&amp;":"&amp;$F24:$F41)),1)=3))</f>
        <v>1</v>
      </c>
      <c r="J24" s="42">
        <f>SUMPRODUCT(--(WEEKDAY(ROW(INDIRECT($E24:$E42&amp;":"&amp;$F24:$F41)),1)=4))</f>
        <v>1</v>
      </c>
      <c r="K24" s="42">
        <f>SUMPRODUCT(--(WEEKDAY(ROW(INDIRECT($E24:$E42&amp;":"&amp;$F24:$F41)),1)=5))</f>
        <v>1</v>
      </c>
      <c r="L24" s="42">
        <f>SUMPRODUCT(--(WEEKDAY(ROW(INDIRECT($E24:$E42&amp;":"&amp;$F24:$F41)),1)=6))</f>
        <v>1</v>
      </c>
      <c r="M24" s="42">
        <f>SUMPRODUCT(--(WEEKDAY(ROW(INDIRECT($E24:$E42&amp;":"&amp;$F24:$F41)),1)=7))</f>
        <v>0</v>
      </c>
      <c r="N24" s="42">
        <f t="shared" si="7"/>
        <v>5</v>
      </c>
      <c r="O24" s="38">
        <f t="shared" si="8"/>
        <v>5</v>
      </c>
      <c r="P24" s="38"/>
      <c r="Q24" s="43" t="str">
        <f>VLOOKUP($B24,'[2]T01.2025'!C14:F7367,4,0)</f>
        <v>0351000788308</v>
      </c>
      <c r="R24" s="43"/>
      <c r="S24" s="44"/>
      <c r="T24" s="8" t="s">
        <v>22</v>
      </c>
      <c r="U24" s="1" t="s">
        <v>23</v>
      </c>
      <c r="V24" s="2" t="s">
        <v>47</v>
      </c>
      <c r="W24" s="2">
        <f t="shared" si="9"/>
        <v>0</v>
      </c>
      <c r="Z24" s="43" t="str">
        <f>VLOOKUP($B24,'[2]Số sổ BHXH T05'!$B$11:$K$11515,10,0)</f>
        <v>Công nhân vận hành máy may công nghiệp</v>
      </c>
    </row>
    <row r="25" ht="40.5" customHeight="1" spans="1:26" x14ac:dyDescent="0.25">
      <c r="A25" s="38">
        <v>13</v>
      </c>
      <c r="B25" s="39" t="s">
        <v>48</v>
      </c>
      <c r="C25" s="40" t="str">
        <f>VLOOKUP($B25,[1]Sheet1!$F$5:$G$69270,2,0)</f>
        <v>PHẠM VĂN BÍCH</v>
      </c>
      <c r="D25" s="38" t="str">
        <f>VLOOKUP($B25,'[2]Số sổ BHXH T05'!$B$11:$K$11515,4,0)</f>
        <v>2420912363</v>
      </c>
      <c r="E25" s="41">
        <v>45972</v>
      </c>
      <c r="F25" s="41">
        <v>45973</v>
      </c>
      <c r="G25" s="42">
        <f>SUMPRODUCT(--(WEEKDAY(ROW(INDIRECT($E25:$E42&amp;":"&amp;$F25:$F38)),1)=1))</f>
        <v>0</v>
      </c>
      <c r="H25" s="42">
        <f>SUMPRODUCT(--(WEEKDAY(ROW(INDIRECT($E25:$E42&amp;":"&amp;$F25:$F38)),1)=2))</f>
        <v>0</v>
      </c>
      <c r="I25" s="42">
        <f>SUMPRODUCT(--(WEEKDAY(ROW(INDIRECT($E25:$E42&amp;":"&amp;$F25:$F38)),1)=3))</f>
        <v>1</v>
      </c>
      <c r="J25" s="42">
        <f>SUMPRODUCT(--(WEEKDAY(ROW(INDIRECT($E25:$E42&amp;":"&amp;$F25:$F38)),1)=4))</f>
        <v>1</v>
      </c>
      <c r="K25" s="42">
        <f>SUMPRODUCT(--(WEEKDAY(ROW(INDIRECT($E25:$E42&amp;":"&amp;$F25:$F38)),1)=5))</f>
        <v>0</v>
      </c>
      <c r="L25" s="42">
        <f>SUMPRODUCT(--(WEEKDAY(ROW(INDIRECT($E25:$E42&amp;":"&amp;$F25:$F38)),1)=6))</f>
        <v>0</v>
      </c>
      <c r="M25" s="42">
        <f>SUMPRODUCT(--(WEEKDAY(ROW(INDIRECT($E25:$E42&amp;":"&amp;$F25:$F38)),1)=7))</f>
        <v>0</v>
      </c>
      <c r="N25" s="42">
        <f t="shared" si="7"/>
        <v>2</v>
      </c>
      <c r="O25" s="38">
        <f t="shared" si="8"/>
        <v>2</v>
      </c>
      <c r="P25" s="38"/>
      <c r="Q25" s="43" t="str">
        <f>VLOOKUP($B25,'[2]T01.2025'!C15:F7368,4,0)</f>
        <v>1046424689</v>
      </c>
      <c r="R25" s="43"/>
      <c r="S25" s="44" t="s">
        <v>49</v>
      </c>
      <c r="T25" s="8" t="s">
        <v>22</v>
      </c>
      <c r="U25" s="1" t="s">
        <v>23</v>
      </c>
      <c r="V25" s="2" t="s">
        <v>50</v>
      </c>
      <c r="W25" s="2">
        <f t="shared" si="9"/>
        <v>0</v>
      </c>
      <c r="Z25" s="43" t="str">
        <f>VLOOKUP($B25,'[2]Số sổ BHXH T05'!$B$11:$K$11515,10,0)</f>
        <v>Công nhân vận hành máy may công nghiệp</v>
      </c>
    </row>
    <row r="26" ht="50.25" customHeight="1" spans="1:26" x14ac:dyDescent="0.25">
      <c r="A26" s="38">
        <v>14</v>
      </c>
      <c r="B26" s="39" t="s">
        <v>51</v>
      </c>
      <c r="C26" s="40" t="str">
        <f>VLOOKUP($B26,[1]Sheet1!$F$5:$G$69270,2,0)</f>
        <v>NÔNG LỆ THU</v>
      </c>
      <c r="D26" s="38" t="str">
        <f>VLOOKUP($B26,'[2]Số sổ BHXH T05'!$B$11:$K$11515,4,0)</f>
        <v>2020841099</v>
      </c>
      <c r="E26" s="41">
        <v>45971</v>
      </c>
      <c r="F26" s="41">
        <v>45972</v>
      </c>
      <c r="G26" s="42">
        <f>SUMPRODUCT(--(WEEKDAY(ROW(INDIRECT($E26:$E42&amp;":"&amp;$F26:$F39)),1)=1))</f>
        <v>0</v>
      </c>
      <c r="H26" s="42">
        <f>SUMPRODUCT(--(WEEKDAY(ROW(INDIRECT($E26:$E42&amp;":"&amp;$F26:$F39)),1)=2))</f>
        <v>1</v>
      </c>
      <c r="I26" s="42">
        <f>SUMPRODUCT(--(WEEKDAY(ROW(INDIRECT($E26:$E42&amp;":"&amp;$F26:$F39)),1)=3))</f>
        <v>1</v>
      </c>
      <c r="J26" s="42">
        <f>SUMPRODUCT(--(WEEKDAY(ROW(INDIRECT($E26:$E42&amp;":"&amp;$F26:$F39)),1)=4))</f>
        <v>0</v>
      </c>
      <c r="K26" s="42">
        <f>SUMPRODUCT(--(WEEKDAY(ROW(INDIRECT($E26:$E42&amp;":"&amp;$F26:$F39)),1)=5))</f>
        <v>0</v>
      </c>
      <c r="L26" s="42">
        <f>SUMPRODUCT(--(WEEKDAY(ROW(INDIRECT($E26:$E42&amp;":"&amp;$F26:$F39)),1)=6))</f>
        <v>0</v>
      </c>
      <c r="M26" s="42">
        <f>SUMPRODUCT(--(WEEKDAY(ROW(INDIRECT($E26:$E42&amp;":"&amp;$F26:$F39)),1)=7))</f>
        <v>0</v>
      </c>
      <c r="N26" s="42">
        <f t="shared" si="7"/>
        <v>2</v>
      </c>
      <c r="O26" s="38">
        <f t="shared" si="8"/>
        <v>2</v>
      </c>
      <c r="P26" s="38"/>
      <c r="Q26" s="43" t="str">
        <f>VLOOKUP($B26,'[2]T01.2025'!C16:F7369,4,0)</f>
        <v>1049569046</v>
      </c>
      <c r="R26" s="43"/>
      <c r="S26" s="44" t="s">
        <v>52</v>
      </c>
      <c r="T26" s="8" t="s">
        <v>22</v>
      </c>
      <c r="U26" s="1" t="s">
        <v>23</v>
      </c>
      <c r="V26" s="2" t="s">
        <v>53</v>
      </c>
      <c r="W26" s="2">
        <f t="shared" si="9"/>
        <v>0</v>
      </c>
      <c r="Z26" s="43" t="str">
        <f>VLOOKUP($B26,'[2]Số sổ BHXH T05'!$B$11:$K$11515,10,0)</f>
        <v>Công nhân đóng gói</v>
      </c>
    </row>
    <row r="27" ht="56.25" customHeight="1" spans="1:26" x14ac:dyDescent="0.25">
      <c r="A27" s="38">
        <v>15</v>
      </c>
      <c r="B27" s="39" t="s">
        <v>54</v>
      </c>
      <c r="C27" s="40" t="str">
        <f>VLOOKUP($B27,[1]Sheet1!$F$5:$G$69270,2,0)</f>
        <v>NGUYỄN VĂN TÚ</v>
      </c>
      <c r="D27" s="38" t="str">
        <f>VLOOKUP($B27,'[2]Số sổ BHXH T05'!$B$11:$K$11515,4,0)</f>
        <v>2416058521</v>
      </c>
      <c r="E27" s="41">
        <v>45968</v>
      </c>
      <c r="F27" s="41">
        <v>45968</v>
      </c>
      <c r="G27" s="42">
        <f>SUMPRODUCT(--(WEEKDAY(ROW(INDIRECT($E27:$E42&amp;":"&amp;$F27:$F42)),1)=1))</f>
        <v>0</v>
      </c>
      <c r="H27" s="42">
        <f>SUMPRODUCT(--(WEEKDAY(ROW(INDIRECT($E27:$E42&amp;":"&amp;$F27:$F42)),1)=2))</f>
        <v>0</v>
      </c>
      <c r="I27" s="42">
        <f>SUMPRODUCT(--(WEEKDAY(ROW(INDIRECT($E27:$E42&amp;":"&amp;$F27:$F42)),1)=3))</f>
        <v>0</v>
      </c>
      <c r="J27" s="42">
        <f>SUMPRODUCT(--(WEEKDAY(ROW(INDIRECT($E27:$E42&amp;":"&amp;$F27:$F42)),1)=4))</f>
        <v>0</v>
      </c>
      <c r="K27" s="42">
        <f>SUMPRODUCT(--(WEEKDAY(ROW(INDIRECT($E27:$E42&amp;":"&amp;$F27:$F42)),1)=5))</f>
        <v>0</v>
      </c>
      <c r="L27" s="42">
        <f>SUMPRODUCT(--(WEEKDAY(ROW(INDIRECT($E27:$E42&amp;":"&amp;$F27:$F42)),1)=6))</f>
        <v>1</v>
      </c>
      <c r="M27" s="42">
        <f>SUMPRODUCT(--(WEEKDAY(ROW(INDIRECT($E27:$E42&amp;":"&amp;$F27:$F42)),1)=7))</f>
        <v>0</v>
      </c>
      <c r="N27" s="42">
        <f t="shared" si="7"/>
        <v>1</v>
      </c>
      <c r="O27" s="38">
        <f>F27-E27+1</f>
        <v>1</v>
      </c>
      <c r="P27" s="38"/>
      <c r="Q27" s="43" t="str">
        <f>VLOOKUP($B27,'[2]T01.2025'!C17:F7370,4,0)</f>
        <v>1045781182</v>
      </c>
      <c r="R27" s="43"/>
      <c r="S27" s="44"/>
      <c r="T27" s="8" t="s">
        <v>22</v>
      </c>
      <c r="U27" s="1" t="s">
        <v>23</v>
      </c>
      <c r="V27" s="2" t="s">
        <v>55</v>
      </c>
      <c r="W27" s="2">
        <f t="shared" si="9"/>
        <v>0</v>
      </c>
      <c r="Z27" s="43" t="str">
        <f>VLOOKUP($B27,'[2]Số sổ BHXH T05'!$B$11:$K$11515,10,0)</f>
        <v>Công nhân vận hành máy may công nghiệp</v>
      </c>
    </row>
    <row r="28" ht="93" customHeight="1" spans="1:26" x14ac:dyDescent="0.25">
      <c r="A28" s="38">
        <v>16</v>
      </c>
      <c r="B28" s="39" t="s">
        <v>54</v>
      </c>
      <c r="C28" s="40" t="str">
        <f>VLOOKUP($B28,[1]Sheet1!$F$5:$G$69270,2,0)</f>
        <v>NGUYỄN VĂN TÚ</v>
      </c>
      <c r="D28" s="38" t="str">
        <f>VLOOKUP($B28,'[2]Số sổ BHXH T05'!$B$11:$K$11515,4,0)</f>
        <v>2416058521</v>
      </c>
      <c r="E28" s="41">
        <v>45973</v>
      </c>
      <c r="F28" s="41">
        <v>45973</v>
      </c>
      <c r="G28" s="42">
        <f>SUMPRODUCT(--(WEEKDAY(ROW(INDIRECT($E28:$E42&amp;":"&amp;$F28:$F42)),1)=1))</f>
        <v>0</v>
      </c>
      <c r="H28" s="42">
        <f>SUMPRODUCT(--(WEEKDAY(ROW(INDIRECT($E28:$E42&amp;":"&amp;$F28:$F42)),1)=2))</f>
        <v>0</v>
      </c>
      <c r="I28" s="42">
        <f>SUMPRODUCT(--(WEEKDAY(ROW(INDIRECT($E28:$E42&amp;":"&amp;$F28:$F42)),1)=3))</f>
        <v>0</v>
      </c>
      <c r="J28" s="42">
        <f>SUMPRODUCT(--(WEEKDAY(ROW(INDIRECT($E28:$E42&amp;":"&amp;$F28:$F42)),1)=4))</f>
        <v>1</v>
      </c>
      <c r="K28" s="42">
        <f>SUMPRODUCT(--(WEEKDAY(ROW(INDIRECT($E28:$E42&amp;":"&amp;$F28:$F42)),1)=5))</f>
        <v>0</v>
      </c>
      <c r="L28" s="42">
        <f>SUMPRODUCT(--(WEEKDAY(ROW(INDIRECT($E28:$E42&amp;":"&amp;$F28:$F42)),1)=6))</f>
        <v>0</v>
      </c>
      <c r="M28" s="42">
        <f>SUMPRODUCT(--(WEEKDAY(ROW(INDIRECT($E28:$E42&amp;":"&amp;$F28:$F42)),1)=7))</f>
        <v>0</v>
      </c>
      <c r="N28" s="42">
        <f t="shared" si="7"/>
        <v>1</v>
      </c>
      <c r="O28" s="38">
        <f t="shared" si="8"/>
        <v>1</v>
      </c>
      <c r="P28" s="38"/>
      <c r="Q28" s="43" t="str">
        <f>VLOOKUP($B28,'[2]T01.2025'!C18:F7371,4,0)</f>
        <v>1045781182</v>
      </c>
      <c r="R28" s="43"/>
      <c r="S28" s="44"/>
      <c r="T28" s="8" t="s">
        <v>22</v>
      </c>
      <c r="U28" s="1" t="s">
        <v>23</v>
      </c>
      <c r="V28" s="2" t="s">
        <v>56</v>
      </c>
      <c r="W28" s="2">
        <f t="shared" si="9"/>
        <v>0</v>
      </c>
      <c r="Z28" s="43" t="str">
        <f>VLOOKUP($B28,'[2]Số sổ BHXH T05'!$B$11:$K$11515,10,0)</f>
        <v>Công nhân vận hành máy may công nghiệp</v>
      </c>
    </row>
    <row r="29" ht="41.25" customHeight="1" spans="1:26" x14ac:dyDescent="0.25">
      <c r="A29" s="38">
        <v>17</v>
      </c>
      <c r="B29" s="39" t="s">
        <v>57</v>
      </c>
      <c r="C29" s="40" t="str">
        <f>VLOOKUP($B29,[1]Sheet1!$F$5:$G$69270,2,0)</f>
        <v>NGUYỄN THỊ NGỌC LAN</v>
      </c>
      <c r="D29" s="38" t="str">
        <f>VLOOKUP($B29,'[2]Số sổ BHXH T05'!$B$11:$K$11515,4,0)</f>
        <v>2420307107</v>
      </c>
      <c r="E29" s="41">
        <v>45975</v>
      </c>
      <c r="F29" s="41">
        <v>45975</v>
      </c>
      <c r="G29" s="42">
        <f>SUMPRODUCT(--(WEEKDAY(ROW(INDIRECT($E29:$E42&amp;":"&amp;$F29:$F42)),1)=1))</f>
        <v>0</v>
      </c>
      <c r="H29" s="42">
        <f>SUMPRODUCT(--(WEEKDAY(ROW(INDIRECT($E29:$E42&amp;":"&amp;$F29:$F42)),1)=2))</f>
        <v>0</v>
      </c>
      <c r="I29" s="42">
        <f>SUMPRODUCT(--(WEEKDAY(ROW(INDIRECT($E29:$E42&amp;":"&amp;$F29:$F42)),1)=3))</f>
        <v>0</v>
      </c>
      <c r="J29" s="42">
        <f>SUMPRODUCT(--(WEEKDAY(ROW(INDIRECT($E29:$E42&amp;":"&amp;$F29:$F42)),1)=4))</f>
        <v>0</v>
      </c>
      <c r="K29" s="42">
        <f>SUMPRODUCT(--(WEEKDAY(ROW(INDIRECT($E29:$E42&amp;":"&amp;$F29:$F42)),1)=5))</f>
        <v>0</v>
      </c>
      <c r="L29" s="42">
        <f>SUMPRODUCT(--(WEEKDAY(ROW(INDIRECT($E29:$E42&amp;":"&amp;$F29:$F42)),1)=6))</f>
        <v>1</v>
      </c>
      <c r="M29" s="42">
        <f>SUMPRODUCT(--(WEEKDAY(ROW(INDIRECT($E29:$E42&amp;":"&amp;$F29:$F42)),1)=7))</f>
        <v>0</v>
      </c>
      <c r="N29" s="42">
        <f t="shared" si="7"/>
        <v>1</v>
      </c>
      <c r="O29" s="38">
        <f t="shared" si="8"/>
        <v>1</v>
      </c>
      <c r="P29" s="38"/>
      <c r="Q29" s="43" t="str">
        <f>VLOOKUP($B29,'[2]T01.2025'!C19:F7372,4,0)</f>
        <v>1036491340</v>
      </c>
      <c r="R29" s="43"/>
      <c r="S29" s="44"/>
      <c r="T29" s="8" t="s">
        <v>22</v>
      </c>
      <c r="U29" s="1" t="s">
        <v>23</v>
      </c>
      <c r="V29" s="2" t="s">
        <v>58</v>
      </c>
      <c r="W29" s="2">
        <f t="shared" si="9"/>
        <v>0</v>
      </c>
      <c r="Z29" s="43" t="str">
        <f>VLOOKUP($B29,'[2]Số sổ BHXH T05'!$B$11:$K$11515,10,0)</f>
        <v>Công nhân vận hành máy may công nghiệp</v>
      </c>
    </row>
    <row r="30" ht="38.25" customHeight="1" spans="1:26" x14ac:dyDescent="0.25">
      <c r="A30" s="38">
        <v>18</v>
      </c>
      <c r="B30" s="39" t="s">
        <v>59</v>
      </c>
      <c r="C30" s="40" t="str">
        <f>VLOOKUP($B30,[1]Sheet1!$F$5:$G$69270,2,0)</f>
        <v>HOÀNG THỊ THÚY</v>
      </c>
      <c r="D30" s="38" t="str">
        <f>VLOOKUP($B30,'[2]Số sổ BHXH T05'!$B$11:$K$11515,4,0)</f>
        <v>2421308784</v>
      </c>
      <c r="E30" s="41">
        <v>45975</v>
      </c>
      <c r="F30" s="41">
        <v>45977</v>
      </c>
      <c r="G30" s="42">
        <f>SUMPRODUCT(--(WEEKDAY(ROW(INDIRECT($E30:$E42&amp;":"&amp;$F30:$F42)),1)=1))</f>
        <v>1</v>
      </c>
      <c r="H30" s="42">
        <f>SUMPRODUCT(--(WEEKDAY(ROW(INDIRECT($E30:$E42&amp;":"&amp;$F30:$F42)),1)=2))</f>
        <v>0</v>
      </c>
      <c r="I30" s="42">
        <f>SUMPRODUCT(--(WEEKDAY(ROW(INDIRECT($E30:$E42&amp;":"&amp;$F30:$F42)),1)=3))</f>
        <v>0</v>
      </c>
      <c r="J30" s="42">
        <f>SUMPRODUCT(--(WEEKDAY(ROW(INDIRECT($E30:$E42&amp;":"&amp;$F30:$F42)),1)=4))</f>
        <v>0</v>
      </c>
      <c r="K30" s="42">
        <f>SUMPRODUCT(--(WEEKDAY(ROW(INDIRECT($E30:$E42&amp;":"&amp;$F30:$F42)),1)=5))</f>
        <v>0</v>
      </c>
      <c r="L30" s="42">
        <f>SUMPRODUCT(--(WEEKDAY(ROW(INDIRECT($E30:$E42&amp;":"&amp;$F30:$F42)),1)=6))</f>
        <v>1</v>
      </c>
      <c r="M30" s="42">
        <f>SUMPRODUCT(--(WEEKDAY(ROW(INDIRECT($E30:$E42&amp;":"&amp;$F30:$F42)),1)=7))</f>
        <v>1</v>
      </c>
      <c r="N30" s="42">
        <f t="shared" si="7"/>
        <v>2</v>
      </c>
      <c r="O30" s="38">
        <v>2</v>
      </c>
      <c r="P30" s="38"/>
      <c r="Q30" s="43" t="str">
        <f>VLOOKUP($B30,'[2]T01.2025'!C20:F7373,4,0)</f>
        <v>1028918643</v>
      </c>
      <c r="R30" s="43"/>
      <c r="S30" s="44" t="s">
        <v>60</v>
      </c>
      <c r="T30" s="8" t="s">
        <v>22</v>
      </c>
      <c r="U30" s="1" t="s">
        <v>23</v>
      </c>
      <c r="V30" s="2" t="s">
        <v>59</v>
      </c>
      <c r="W30" s="2">
        <f t="shared" si="9"/>
        <v>0</v>
      </c>
      <c r="Z30" s="43" t="str">
        <f>VLOOKUP($B30,'[2]Số sổ BHXH T05'!$B$11:$K$11515,10,0)</f>
        <v>Công nhân vận hành máy may công nghiệp</v>
      </c>
    </row>
    <row r="31" ht="27.75" customHeight="1" spans="1:26" x14ac:dyDescent="0.25">
      <c r="A31" s="38">
        <v>19</v>
      </c>
      <c r="B31" s="39" t="s">
        <v>61</v>
      </c>
      <c r="C31" s="40" t="str">
        <f>VLOOKUP($B31,[1]Sheet1!$F$5:$G$69270,2,0)</f>
        <v>NGUYỄN THỊ HÀ GIANG</v>
      </c>
      <c r="D31" s="38" t="str">
        <f>VLOOKUP($B31,'[2]Số sổ BHXH T05'!$B$11:$K$11515,4,0)</f>
        <v>2421307055</v>
      </c>
      <c r="E31" s="41">
        <v>45976</v>
      </c>
      <c r="F31" s="41">
        <v>45976</v>
      </c>
      <c r="G31" s="42">
        <f>SUMPRODUCT(--(WEEKDAY(ROW(INDIRECT($E31:$E42&amp;":"&amp;$F31:$F42)),1)=1))</f>
        <v>0</v>
      </c>
      <c r="H31" s="42">
        <f>SUMPRODUCT(--(WEEKDAY(ROW(INDIRECT($E31:$E42&amp;":"&amp;$F31:$F42)),1)=2))</f>
        <v>0</v>
      </c>
      <c r="I31" s="42">
        <f>SUMPRODUCT(--(WEEKDAY(ROW(INDIRECT($E31:$E42&amp;":"&amp;$F31:$F42)),1)=3))</f>
        <v>0</v>
      </c>
      <c r="J31" s="42">
        <f>SUMPRODUCT(--(WEEKDAY(ROW(INDIRECT($E31:$E42&amp;":"&amp;$F31:$F42)),1)=4))</f>
        <v>0</v>
      </c>
      <c r="K31" s="42">
        <f>SUMPRODUCT(--(WEEKDAY(ROW(INDIRECT($E31:$E42&amp;":"&amp;$F31:$F42)),1)=5))</f>
        <v>0</v>
      </c>
      <c r="L31" s="42">
        <f>SUMPRODUCT(--(WEEKDAY(ROW(INDIRECT($E31:$E42&amp;":"&amp;$F31:$F42)),1)=6))</f>
        <v>0</v>
      </c>
      <c r="M31" s="42">
        <f>SUMPRODUCT(--(WEEKDAY(ROW(INDIRECT($E31:$E42&amp;":"&amp;$F31:$F42)),1)=7))</f>
        <v>1</v>
      </c>
      <c r="N31" s="42">
        <f t="shared" si="7"/>
        <v>1</v>
      </c>
      <c r="O31" s="38">
        <f t="shared" si="8"/>
        <v>1</v>
      </c>
      <c r="P31" s="38"/>
      <c r="Q31" s="43" t="str">
        <f>VLOOKUP($B31,'[2]T01.2025'!C21:F7374,4,0)</f>
        <v>0351001225592</v>
      </c>
      <c r="R31" s="43"/>
      <c r="S31" s="44"/>
      <c r="T31" s="8" t="s">
        <v>22</v>
      </c>
      <c r="U31" s="1" t="s">
        <v>23</v>
      </c>
      <c r="V31" s="2" t="s">
        <v>62</v>
      </c>
      <c r="W31" s="2">
        <f t="shared" si="9"/>
        <v>0</v>
      </c>
      <c r="Z31" s="43" t="str">
        <f>VLOOKUP($B31,'[2]Số sổ BHXH T05'!$B$11:$K$11515,10,0)</f>
        <v>Thư ký bộ phận cắt</v>
      </c>
    </row>
    <row r="32" ht="36" customHeight="1" spans="1:26" x14ac:dyDescent="0.25">
      <c r="A32" s="38">
        <v>20</v>
      </c>
      <c r="B32" s="39" t="s">
        <v>63</v>
      </c>
      <c r="C32" s="40" t="str">
        <f>VLOOKUP($B32,[1]Sheet1!$F$5:$G$69270,2,0)</f>
        <v>NGUYỄN THẾ CHUYÊN</v>
      </c>
      <c r="D32" s="38" t="str">
        <f>VLOOKUP($B32,'[2]Số sổ BHXH T05'!$B$11:$K$11515,4,0)</f>
        <v>2420585980</v>
      </c>
      <c r="E32" s="41">
        <v>45974</v>
      </c>
      <c r="F32" s="41">
        <v>45976</v>
      </c>
      <c r="G32" s="42">
        <f>SUMPRODUCT(--(WEEKDAY(ROW(INDIRECT($E32:$E42&amp;":"&amp;$F32:$F42)),1)=1))</f>
        <v>0</v>
      </c>
      <c r="H32" s="42">
        <f>SUMPRODUCT(--(WEEKDAY(ROW(INDIRECT($E32:$E42&amp;":"&amp;$F32:$F42)),1)=2))</f>
        <v>0</v>
      </c>
      <c r="I32" s="42">
        <f>SUMPRODUCT(--(WEEKDAY(ROW(INDIRECT($E32:$E42&amp;":"&amp;$F32:$F42)),1)=3))</f>
        <v>0</v>
      </c>
      <c r="J32" s="42">
        <f>SUMPRODUCT(--(WEEKDAY(ROW(INDIRECT($E32:$E42&amp;":"&amp;$F32:$F42)),1)=4))</f>
        <v>0</v>
      </c>
      <c r="K32" s="42">
        <f>SUMPRODUCT(--(WEEKDAY(ROW(INDIRECT($E32:$E42&amp;":"&amp;$F32:$F42)),1)=5))</f>
        <v>1</v>
      </c>
      <c r="L32" s="42">
        <f>SUMPRODUCT(--(WEEKDAY(ROW(INDIRECT($E32:$E42&amp;":"&amp;$F32:$F42)),1)=6))</f>
        <v>1</v>
      </c>
      <c r="M32" s="42">
        <f>SUMPRODUCT(--(WEEKDAY(ROW(INDIRECT($E32:$E42&amp;":"&amp;$F32:$F42)),1)=7))</f>
        <v>1</v>
      </c>
      <c r="N32" s="42">
        <f t="shared" si="7"/>
        <v>3</v>
      </c>
      <c r="O32" s="38">
        <f t="shared" si="8"/>
        <v>3</v>
      </c>
      <c r="P32" s="38"/>
      <c r="Q32" s="43" t="str">
        <f>VLOOKUP($B32,'[2]T01.2025'!C22:F7375,4,0)</f>
        <v>0351001194585</v>
      </c>
      <c r="R32" s="43"/>
      <c r="S32" s="44"/>
      <c r="T32" s="8" t="s">
        <v>22</v>
      </c>
      <c r="U32" s="1" t="s">
        <v>23</v>
      </c>
      <c r="V32" s="2" t="s">
        <v>64</v>
      </c>
      <c r="W32" s="2">
        <f t="shared" si="9"/>
        <v>0</v>
      </c>
      <c r="Z32" s="43" t="str">
        <f>VLOOKUP($B32,'[2]Số sổ BHXH T05'!$B$11:$K$11515,10,0)</f>
        <v>Công nhân vận hành máy may công nghiệp</v>
      </c>
    </row>
    <row r="33" ht="27.75" customHeight="1" spans="1:26" x14ac:dyDescent="0.25">
      <c r="A33" s="38">
        <v>21</v>
      </c>
      <c r="B33" s="39" t="s">
        <v>65</v>
      </c>
      <c r="C33" s="40" t="str">
        <f>VLOOKUP($B33,[1]Sheet1!$F$5:$G$69270,2,0)</f>
        <v>ĐÀO THỊ MAI</v>
      </c>
      <c r="D33" s="38" t="str">
        <f>VLOOKUP($B33,'[2]Số sổ BHXH T05'!$B$11:$K$11515,4,0)</f>
        <v>2421401102</v>
      </c>
      <c r="E33" s="41">
        <v>45969</v>
      </c>
      <c r="F33" s="41">
        <v>45971</v>
      </c>
      <c r="G33" s="42">
        <f>SUMPRODUCT(--(WEEKDAY(ROW(INDIRECT($E33:$E42&amp;":"&amp;$F33:$F42)),1)=1))</f>
        <v>1</v>
      </c>
      <c r="H33" s="42">
        <f>SUMPRODUCT(--(WEEKDAY(ROW(INDIRECT($E33:$E42&amp;":"&amp;$F33:$F42)),1)=2))</f>
        <v>1</v>
      </c>
      <c r="I33" s="42">
        <f>SUMPRODUCT(--(WEEKDAY(ROW(INDIRECT($E33:$E42&amp;":"&amp;$F33:$F42)),1)=3))</f>
        <v>0</v>
      </c>
      <c r="J33" s="42">
        <f>SUMPRODUCT(--(WEEKDAY(ROW(INDIRECT($E33:$E42&amp;":"&amp;$F33:$F42)),1)=4))</f>
        <v>0</v>
      </c>
      <c r="K33" s="42">
        <f>SUMPRODUCT(--(WEEKDAY(ROW(INDIRECT($E33:$E42&amp;":"&amp;$F33:$F42)),1)=5))</f>
        <v>0</v>
      </c>
      <c r="L33" s="42">
        <f>SUMPRODUCT(--(WEEKDAY(ROW(INDIRECT($E33:$E42&amp;":"&amp;$F33:$F42)),1)=6))</f>
        <v>0</v>
      </c>
      <c r="M33" s="42">
        <f>SUMPRODUCT(--(WEEKDAY(ROW(INDIRECT($E33:$E42&amp;":"&amp;$F33:$F42)),1)=7))</f>
        <v>1</v>
      </c>
      <c r="N33" s="42">
        <f t="shared" si="7"/>
        <v>2</v>
      </c>
      <c r="O33" s="38">
        <v>2</v>
      </c>
      <c r="P33" s="38"/>
      <c r="Q33" s="43" t="str">
        <f>VLOOKUP($B33,'[2]T01.2025'!C23:F7376,4,0)</f>
        <v>1018323932</v>
      </c>
      <c r="R33" s="43"/>
      <c r="S33" s="44"/>
      <c r="T33" s="8" t="s">
        <v>22</v>
      </c>
      <c r="U33" s="1" t="s">
        <v>66</v>
      </c>
      <c r="W33" s="2">
        <f t="shared" si="9"/>
        <v>0</v>
      </c>
      <c r="Z33" s="43" t="str">
        <f>VLOOKUP($B33,'[2]Số sổ BHXH T05'!$B$11:$K$11515,10,0)</f>
        <v>Phụ trách may mẫu</v>
      </c>
    </row>
    <row r="34" ht="27.75" customHeight="1" spans="1:26" x14ac:dyDescent="0.25">
      <c r="A34" s="38">
        <v>22</v>
      </c>
      <c r="B34" s="39" t="s">
        <v>67</v>
      </c>
      <c r="C34" s="40" t="str">
        <f>VLOOKUP($B34,[1]Sheet1!$F$5:$G$69270,2,0)</f>
        <v>THÂN THỊ UYÊN DUNG</v>
      </c>
      <c r="D34" s="38" t="str">
        <f>VLOOKUP($B34,'[2]Số sổ BHXH T05'!$B$11:$K$11515,4,0)</f>
        <v>2416034327</v>
      </c>
      <c r="E34" s="41">
        <v>45958</v>
      </c>
      <c r="F34" s="41">
        <v>45972</v>
      </c>
      <c r="G34" s="42">
        <f>SUMPRODUCT(--(WEEKDAY(ROW(INDIRECT($E34:$E42&amp;":"&amp;$F34:$F42)),1)=1))</f>
        <v>2</v>
      </c>
      <c r="H34" s="42">
        <f>SUMPRODUCT(--(WEEKDAY(ROW(INDIRECT($E34:$E42&amp;":"&amp;$F34:$F42)),1)=2))</f>
        <v>2</v>
      </c>
      <c r="I34" s="42">
        <f>SUMPRODUCT(--(WEEKDAY(ROW(INDIRECT($E34:$E42&amp;":"&amp;$F34:$F42)),1)=3))</f>
        <v>3</v>
      </c>
      <c r="J34" s="42">
        <f>SUMPRODUCT(--(WEEKDAY(ROW(INDIRECT($E34:$E42&amp;":"&amp;$F34:$F42)),1)=4))</f>
        <v>2</v>
      </c>
      <c r="K34" s="42">
        <f>SUMPRODUCT(--(WEEKDAY(ROW(INDIRECT($E34:$E42&amp;":"&amp;$F34:$F42)),1)=5))</f>
        <v>2</v>
      </c>
      <c r="L34" s="42">
        <f>SUMPRODUCT(--(WEEKDAY(ROW(INDIRECT($E34:$E42&amp;":"&amp;$F34:$F42)),1)=6))</f>
        <v>2</v>
      </c>
      <c r="M34" s="42">
        <f>SUMPRODUCT(--(WEEKDAY(ROW(INDIRECT($E34:$E42&amp;":"&amp;$F34:$F42)),1)=7))</f>
        <v>2</v>
      </c>
      <c r="N34" s="42">
        <f t="shared" si="7"/>
        <v>13</v>
      </c>
      <c r="O34" s="38">
        <v>13</v>
      </c>
      <c r="P34" s="38"/>
      <c r="Q34" s="43" t="str">
        <f>VLOOKUP($B34,'[2]T01.2025'!C24:F7377,4,0)</f>
        <v>0731000705136</v>
      </c>
      <c r="R34" s="43"/>
      <c r="S34" s="44"/>
      <c r="T34" s="8" t="s">
        <v>22</v>
      </c>
      <c r="U34" s="1" t="s">
        <v>66</v>
      </c>
      <c r="W34" s="2">
        <f t="shared" si="9"/>
        <v>0</v>
      </c>
      <c r="Z34" s="43" t="str">
        <f>VLOOKUP($B34,'[2]Số sổ BHXH T05'!$B$11:$K$11515,10,0)</f>
        <v>Công nhân vận hành máy may công nghiệp</v>
      </c>
    </row>
    <row r="35" ht="36" customHeight="1" spans="1:26" x14ac:dyDescent="0.25">
      <c r="A35" s="38">
        <v>23</v>
      </c>
      <c r="B35" s="39" t="s">
        <v>68</v>
      </c>
      <c r="C35" s="40" t="str">
        <f>VLOOKUP($B35,[1]Sheet1!$F$5:$G$69270,2,0)</f>
        <v>NGUYỄN THỊ THÚY TIÊN</v>
      </c>
      <c r="D35" s="38" t="str">
        <f>VLOOKUP($B35,'[2]Số sổ BHXH T05'!$B$11:$K$11515,4,0)</f>
        <v>3720704554</v>
      </c>
      <c r="E35" s="41">
        <v>45968</v>
      </c>
      <c r="F35" s="41">
        <v>45974</v>
      </c>
      <c r="G35" s="42">
        <f>SUMPRODUCT(--(WEEKDAY(ROW(INDIRECT($E35:$E42&amp;":"&amp;$F35:$F42)),1)=1))</f>
        <v>1</v>
      </c>
      <c r="H35" s="42">
        <f>SUMPRODUCT(--(WEEKDAY(ROW(INDIRECT($E35:$E42&amp;":"&amp;$F35:$F42)),1)=2))</f>
        <v>1</v>
      </c>
      <c r="I35" s="42">
        <f>SUMPRODUCT(--(WEEKDAY(ROW(INDIRECT($E35:$E42&amp;":"&amp;$F35:$F42)),1)=3))</f>
        <v>1</v>
      </c>
      <c r="J35" s="42">
        <f>SUMPRODUCT(--(WEEKDAY(ROW(INDIRECT($E35:$E42&amp;":"&amp;$F35:$F42)),1)=4))</f>
        <v>1</v>
      </c>
      <c r="K35" s="42">
        <f>SUMPRODUCT(--(WEEKDAY(ROW(INDIRECT($E35:$E42&amp;":"&amp;$F35:$F42)),1)=5))</f>
        <v>1</v>
      </c>
      <c r="L35" s="42">
        <f>SUMPRODUCT(--(WEEKDAY(ROW(INDIRECT($E35:$E42&amp;":"&amp;$F35:$F42)),1)=6))</f>
        <v>1</v>
      </c>
      <c r="M35" s="42">
        <f>SUMPRODUCT(--(WEEKDAY(ROW(INDIRECT($E35:$E42&amp;":"&amp;$F35:$F42)),1)=7))</f>
        <v>1</v>
      </c>
      <c r="N35" s="42">
        <f t="shared" si="7"/>
        <v>6</v>
      </c>
      <c r="O35" s="38">
        <v>6</v>
      </c>
      <c r="P35" s="38"/>
      <c r="Q35" s="43" t="str">
        <f>VLOOKUP($B35,'[2]T01.2025'!C25:F7378,4,0)</f>
        <v>1059970137</v>
      </c>
      <c r="R35" s="43"/>
      <c r="S35" s="44"/>
      <c r="T35" s="8" t="s">
        <v>22</v>
      </c>
      <c r="U35" s="1" t="s">
        <v>66</v>
      </c>
      <c r="W35" s="2">
        <f t="shared" si="9"/>
        <v>0</v>
      </c>
      <c r="Z35" s="43" t="str">
        <f>VLOOKUP($B35,'[2]Số sổ BHXH T05'!$B$11:$K$11515,10,0)</f>
        <v>Công nhân vận hành máy may công nghiệp</v>
      </c>
    </row>
    <row r="36" ht="64.5" customHeight="1" spans="1:26" x14ac:dyDescent="0.25">
      <c r="A36" s="38">
        <v>24</v>
      </c>
      <c r="B36" s="39" t="s">
        <v>69</v>
      </c>
      <c r="C36" s="40" t="str">
        <f>VLOOKUP($B36,[1]Sheet1!$F$5:$G$69270,2,0)</f>
        <v>SẰM THỊ LIÊN</v>
      </c>
      <c r="D36" s="38" t="str">
        <f>VLOOKUP($B36,'[2]Số sổ BHXH T05'!$B$11:$K$11515,4,0)</f>
        <v>0620070354</v>
      </c>
      <c r="E36" s="41">
        <v>45959</v>
      </c>
      <c r="F36" s="41">
        <v>45973</v>
      </c>
      <c r="G36" s="42">
        <f>SUMPRODUCT(--(WEEKDAY(ROW(INDIRECT($E36:$E42&amp;":"&amp;$F36:$F42)),1)=1))</f>
        <v>2</v>
      </c>
      <c r="H36" s="42">
        <f>SUMPRODUCT(--(WEEKDAY(ROW(INDIRECT($E36:$E42&amp;":"&amp;$F36:$F42)),1)=2))</f>
        <v>2</v>
      </c>
      <c r="I36" s="42">
        <f>SUMPRODUCT(--(WEEKDAY(ROW(INDIRECT($E36:$E42&amp;":"&amp;$F36:$F42)),1)=3))</f>
        <v>2</v>
      </c>
      <c r="J36" s="42">
        <f>SUMPRODUCT(--(WEEKDAY(ROW(INDIRECT($E36:$E42&amp;":"&amp;$F36:$F42)),1)=4))</f>
        <v>3</v>
      </c>
      <c r="K36" s="42">
        <f>SUMPRODUCT(--(WEEKDAY(ROW(INDIRECT($E36:$E42&amp;":"&amp;$F36:$F42)),1)=5))</f>
        <v>2</v>
      </c>
      <c r="L36" s="42">
        <f>SUMPRODUCT(--(WEEKDAY(ROW(INDIRECT($E36:$E42&amp;":"&amp;$F36:$F42)),1)=6))</f>
        <v>2</v>
      </c>
      <c r="M36" s="42">
        <f>SUMPRODUCT(--(WEEKDAY(ROW(INDIRECT($E36:$E42&amp;":"&amp;$F36:$F42)),1)=7))</f>
        <v>2</v>
      </c>
      <c r="N36" s="42">
        <f t="shared" si="7"/>
        <v>13</v>
      </c>
      <c r="O36" s="38">
        <v>13</v>
      </c>
      <c r="P36" s="38"/>
      <c r="Q36" s="43" t="str">
        <f>VLOOKUP($B36,'[2]T01.2025'!C26:F7379,4,0)</f>
        <v>0351001189027</v>
      </c>
      <c r="R36" s="43"/>
      <c r="S36" s="44"/>
      <c r="T36" s="8" t="s">
        <v>22</v>
      </c>
      <c r="U36" s="1" t="s">
        <v>66</v>
      </c>
      <c r="W36" s="2">
        <f t="shared" si="9"/>
        <v>0</v>
      </c>
      <c r="Z36" s="43" t="str">
        <f>VLOOKUP($B36,'[2]Số sổ BHXH T05'!$B$11:$K$11515,10,0)</f>
        <v>Công nhân đóng gói</v>
      </c>
    </row>
    <row r="37" ht="27.75" customHeight="1" spans="1:26" x14ac:dyDescent="0.25">
      <c r="A37" s="38">
        <v>25</v>
      </c>
      <c r="B37" s="39" t="s">
        <v>70</v>
      </c>
      <c r="C37" s="40" t="str">
        <f>VLOOKUP($B37,[1]Sheet1!$F$5:$G$69270,2,0)</f>
        <v>NGUYỄN THỊ TUYẾT</v>
      </c>
      <c r="D37" s="38" t="str">
        <f>VLOOKUP($B37,'[2]Số sổ BHXH T05'!$B$11:$K$11515,4,0)</f>
        <v>2708026353</v>
      </c>
      <c r="E37" s="41">
        <v>45956</v>
      </c>
      <c r="F37" s="41">
        <v>45966</v>
      </c>
      <c r="G37" s="42">
        <f>SUMPRODUCT(--(WEEKDAY(ROW(INDIRECT($E37:$E42&amp;":"&amp;$F37:$F42)),1)=1))</f>
        <v>2</v>
      </c>
      <c r="H37" s="42">
        <f>SUMPRODUCT(--(WEEKDAY(ROW(INDIRECT($E37:$E42&amp;":"&amp;$F37:$F42)),1)=2))</f>
        <v>2</v>
      </c>
      <c r="I37" s="42">
        <f>SUMPRODUCT(--(WEEKDAY(ROW(INDIRECT($E37:$E42&amp;":"&amp;$F37:$F42)),1)=3))</f>
        <v>2</v>
      </c>
      <c r="J37" s="42">
        <f>SUMPRODUCT(--(WEEKDAY(ROW(INDIRECT($E37:$E42&amp;":"&amp;$F37:$F42)),1)=4))</f>
        <v>2</v>
      </c>
      <c r="K37" s="42">
        <f>SUMPRODUCT(--(WEEKDAY(ROW(INDIRECT($E37:$E42&amp;":"&amp;$F37:$F42)),1)=5))</f>
        <v>1</v>
      </c>
      <c r="L37" s="42">
        <f>SUMPRODUCT(--(WEEKDAY(ROW(INDIRECT($E37:$E42&amp;":"&amp;$F37:$F42)),1)=6))</f>
        <v>1</v>
      </c>
      <c r="M37" s="42">
        <f>SUMPRODUCT(--(WEEKDAY(ROW(INDIRECT($E37:$E42&amp;":"&amp;$F37:$F42)),1)=7))</f>
        <v>1</v>
      </c>
      <c r="N37" s="42">
        <f t="shared" si="7"/>
        <v>9</v>
      </c>
      <c r="O37" s="38">
        <v>9</v>
      </c>
      <c r="P37" s="38"/>
      <c r="Q37" s="43" t="str">
        <f>VLOOKUP($B37,'[2]T01.2025'!C27:F7380,4,0)</f>
        <v>0351000325796</v>
      </c>
      <c r="R37" s="43"/>
      <c r="S37" s="44"/>
      <c r="T37" s="8" t="s">
        <v>22</v>
      </c>
      <c r="U37" s="1" t="s">
        <v>66</v>
      </c>
      <c r="W37" s="2">
        <f t="shared" si="9"/>
        <v>0</v>
      </c>
      <c r="Z37" s="43" t="str">
        <f>VLOOKUP($B37,'[2]Số sổ BHXH T05'!$B$11:$K$11515,10,0)</f>
        <v>Tổ trưởng kiểm tra chất lượng</v>
      </c>
    </row>
    <row r="38" ht="27.75" customHeight="1" spans="1:26" x14ac:dyDescent="0.25">
      <c r="A38" s="38">
        <v>26</v>
      </c>
      <c r="B38" s="39" t="s">
        <v>71</v>
      </c>
      <c r="C38" s="40" t="str">
        <f>VLOOKUP($B38,[1]Sheet1!$F$5:$G$69270,2,0)</f>
        <v>TRẦN THỊ HƯỜNG</v>
      </c>
      <c r="D38" s="38" t="str">
        <f>VLOOKUP($B38,'[2]Số sổ BHXH T05'!$B$11:$K$11515,4,0)</f>
        <v>2412026634</v>
      </c>
      <c r="E38" s="41">
        <v>45964</v>
      </c>
      <c r="F38" s="41">
        <v>45976</v>
      </c>
      <c r="G38" s="42">
        <f>SUMPRODUCT(--(WEEKDAY(ROW(INDIRECT($E38:$E42&amp;":"&amp;$F38:$F42)),1)=1))</f>
        <v>1</v>
      </c>
      <c r="H38" s="42">
        <f>SUMPRODUCT(--(WEEKDAY(ROW(INDIRECT($E38:$E42&amp;":"&amp;$F38:$F42)),1)=2))</f>
        <v>2</v>
      </c>
      <c r="I38" s="42">
        <f>SUMPRODUCT(--(WEEKDAY(ROW(INDIRECT($E38:$E42&amp;":"&amp;$F38:$F42)),1)=3))</f>
        <v>2</v>
      </c>
      <c r="J38" s="42">
        <f>SUMPRODUCT(--(WEEKDAY(ROW(INDIRECT($E38:$E42&amp;":"&amp;$F38:$F42)),1)=4))</f>
        <v>2</v>
      </c>
      <c r="K38" s="42">
        <f>SUMPRODUCT(--(WEEKDAY(ROW(INDIRECT($E38:$E42&amp;":"&amp;$F38:$F42)),1)=5))</f>
        <v>2</v>
      </c>
      <c r="L38" s="42">
        <f>SUMPRODUCT(--(WEEKDAY(ROW(INDIRECT($E38:$E42&amp;":"&amp;$F38:$F42)),1)=6))</f>
        <v>2</v>
      </c>
      <c r="M38" s="42">
        <f>SUMPRODUCT(--(WEEKDAY(ROW(INDIRECT($E38:$E42&amp;":"&amp;$F38:$F42)),1)=7))</f>
        <v>2</v>
      </c>
      <c r="N38" s="42">
        <f t="shared" si="7"/>
        <v>12</v>
      </c>
      <c r="O38" s="38">
        <v>12</v>
      </c>
      <c r="P38" s="38"/>
      <c r="Q38" s="43" t="str">
        <f>VLOOKUP($B38,'[2]T01.2025'!C28:F7381,4,0)</f>
        <v>0351000715907</v>
      </c>
      <c r="R38" s="43"/>
      <c r="S38" s="44"/>
      <c r="T38" s="8" t="s">
        <v>22</v>
      </c>
      <c r="U38" s="1" t="s">
        <v>72</v>
      </c>
      <c r="W38" s="2">
        <f t="shared" si="9"/>
        <v>0</v>
      </c>
      <c r="Z38" s="43" t="str">
        <f>VLOOKUP($B38,'[2]Số sổ BHXH T05'!$B$11:$K$11515,10,0)</f>
        <v>Công nhân vận hành máy may công nghiệp</v>
      </c>
    </row>
    <row r="39" ht="81.75" customHeight="1" spans="1:26" x14ac:dyDescent="0.25">
      <c r="A39" s="38">
        <v>27</v>
      </c>
      <c r="B39" s="39" t="s">
        <v>73</v>
      </c>
      <c r="C39" s="40" t="str">
        <f>VLOOKUP($B39,[1]Sheet1!$F$5:$G$69270,2,0)</f>
        <v>PHẠM THỊ THƠM</v>
      </c>
      <c r="D39" s="38" t="str">
        <f>VLOOKUP($B39,'[2]Số sổ BHXH T05'!$B$11:$K$11515,4,0)</f>
        <v>2411019831</v>
      </c>
      <c r="E39" s="41">
        <v>45966</v>
      </c>
      <c r="F39" s="41">
        <v>45974</v>
      </c>
      <c r="G39" s="42">
        <f>SUMPRODUCT(--(WEEKDAY(ROW(INDIRECT($E39:$E42&amp;":"&amp;$F39:$F42)),1)=1))</f>
        <v>1</v>
      </c>
      <c r="H39" s="42">
        <f>SUMPRODUCT(--(WEEKDAY(ROW(INDIRECT($E39:$E42&amp;":"&amp;$F39:$F42)),1)=2))</f>
        <v>1</v>
      </c>
      <c r="I39" s="42">
        <f>SUMPRODUCT(--(WEEKDAY(ROW(INDIRECT($E39:$E42&amp;":"&amp;$F39:$F42)),1)=3))</f>
        <v>1</v>
      </c>
      <c r="J39" s="42">
        <f>SUMPRODUCT(--(WEEKDAY(ROW(INDIRECT($E39:$E42&amp;":"&amp;$F39:$F42)),1)=4))</f>
        <v>2</v>
      </c>
      <c r="K39" s="42">
        <f>SUMPRODUCT(--(WEEKDAY(ROW(INDIRECT($E39:$E42&amp;":"&amp;$F39:$F42)),1)=5))</f>
        <v>2</v>
      </c>
      <c r="L39" s="42">
        <f>SUMPRODUCT(--(WEEKDAY(ROW(INDIRECT($E39:$E42&amp;":"&amp;$F39:$F42)),1)=6))</f>
        <v>1</v>
      </c>
      <c r="M39" s="42">
        <f>SUMPRODUCT(--(WEEKDAY(ROW(INDIRECT($E39:$E42&amp;":"&amp;$F39:$F42)),1)=7))</f>
        <v>1</v>
      </c>
      <c r="N39" s="42">
        <f t="shared" si="7"/>
        <v>8</v>
      </c>
      <c r="O39" s="38">
        <v>8</v>
      </c>
      <c r="P39" s="38"/>
      <c r="Q39" s="43" t="str">
        <f>VLOOKUP($B39,'[2]T01.2025'!C29:F7382,4,0)</f>
        <v>0351000817352</v>
      </c>
      <c r="R39" s="43"/>
      <c r="S39" s="44"/>
      <c r="T39" s="8" t="s">
        <v>22</v>
      </c>
      <c r="U39" s="1" t="s">
        <v>66</v>
      </c>
      <c r="W39" s="2">
        <f t="shared" si="9"/>
        <v>0</v>
      </c>
      <c r="Z39" s="43" t="str">
        <f>VLOOKUP($B39,'[2]Số sổ BHXH T05'!$B$11:$K$11515,10,0)</f>
        <v>Công nhân luồn dây</v>
      </c>
    </row>
    <row r="40" ht="36" customHeight="1" spans="1:26" x14ac:dyDescent="0.25">
      <c r="A40" s="38">
        <v>28</v>
      </c>
      <c r="B40" s="39" t="s">
        <v>74</v>
      </c>
      <c r="C40" s="40" t="str">
        <f>VLOOKUP($B40,[1]Sheet1!$F$5:$G$69270,2,0)</f>
        <v>NGUYỄN THỊ THẢO</v>
      </c>
      <c r="D40" s="38" t="str">
        <f>VLOOKUP($B40,'[2]Số sổ BHXH T05'!$B$11:$K$11515,4,0)</f>
        <v>2408010465</v>
      </c>
      <c r="E40" s="41">
        <v>45971</v>
      </c>
      <c r="F40" s="41">
        <v>45974</v>
      </c>
      <c r="G40" s="42">
        <f>SUMPRODUCT(--(WEEKDAY(ROW(INDIRECT($E35:$E42&amp;":"&amp;$F35:$F42)),1)=1))</f>
        <v>0</v>
      </c>
      <c r="H40" s="42">
        <f>SUMPRODUCT(--(WEEKDAY(ROW(INDIRECT($E35:$E42&amp;":"&amp;$F35:$F42)),1)=2))</f>
        <v>1</v>
      </c>
      <c r="I40" s="42">
        <f>SUMPRODUCT(--(WEEKDAY(ROW(INDIRECT($E35:$E42&amp;":"&amp;$F35:$F42)),1)=3))</f>
        <v>1</v>
      </c>
      <c r="J40" s="42">
        <f>SUMPRODUCT(--(WEEKDAY(ROW(INDIRECT($E35:$E42&amp;":"&amp;$F35:$F42)),1)=4))</f>
        <v>1</v>
      </c>
      <c r="K40" s="42">
        <f>SUMPRODUCT(--(WEEKDAY(ROW(INDIRECT($E35:$E42&amp;":"&amp;$F35:$F42)),1)=5))</f>
        <v>1</v>
      </c>
      <c r="L40" s="42">
        <f>SUMPRODUCT(--(WEEKDAY(ROW(INDIRECT($E35:$E42&amp;":"&amp;$F35:$F42)),1)=6))</f>
        <v>0</v>
      </c>
      <c r="M40" s="42">
        <f>SUMPRODUCT(--(WEEKDAY(ROW(INDIRECT($E35:$E42&amp;":"&amp;$F35:$F42)),1)=7))</f>
        <v>0</v>
      </c>
      <c r="N40" s="42">
        <f>SUM(H40:M40)</f>
        <v>4</v>
      </c>
      <c r="O40" s="38">
        <f>F40-E40+1</f>
        <v>4</v>
      </c>
      <c r="P40" s="38"/>
      <c r="Q40" s="43" t="str">
        <f>VLOOKUP($B40,'[2]T01.2025'!C30:F7383,4,0)</f>
        <v>0351001201798</v>
      </c>
      <c r="R40" s="43"/>
      <c r="S40" s="44"/>
      <c r="T40" s="8" t="s">
        <v>22</v>
      </c>
      <c r="U40" s="1" t="s">
        <v>66</v>
      </c>
      <c r="W40" s="2">
        <f t="shared" si="9"/>
        <v>0</v>
      </c>
      <c r="Z40" s="43" t="str">
        <f>VLOOKUP($B40,'[2]Số sổ BHXH T05'!$B$11:$K$11515,10,0)</f>
        <v>Công nhân vận hành máy may công nghiệp</v>
      </c>
    </row>
    <row r="41" ht="27.75" customHeight="1" spans="1:26" x14ac:dyDescent="0.25">
      <c r="A41" s="38">
        <v>29</v>
      </c>
      <c r="B41" s="39" t="s">
        <v>75</v>
      </c>
      <c r="C41" s="40" t="str">
        <f>VLOOKUP($B41,[1]Sheet1!$F$5:$G$69270,2,0)</f>
        <v>TRẦN THỊ HẢI</v>
      </c>
      <c r="D41" s="38" t="str">
        <f>VLOOKUP($B41,'[2]Số sổ BHXH T05'!$B$11:$K$11515,4,0)</f>
        <v>2413017203</v>
      </c>
      <c r="E41" s="41">
        <v>45960</v>
      </c>
      <c r="F41" s="41">
        <v>45972</v>
      </c>
      <c r="G41" s="42">
        <f>SUMPRODUCT(--(WEEKDAY(ROW(INDIRECT($E41:$E42&amp;":"&amp;$F41:$F42)),1)=1))</f>
        <v>2</v>
      </c>
      <c r="H41" s="42">
        <f>SUMPRODUCT(--(WEEKDAY(ROW(INDIRECT($E41:$E42&amp;":"&amp;$F41:$F42)),1)=2))</f>
        <v>2</v>
      </c>
      <c r="I41" s="42">
        <f>SUMPRODUCT(--(WEEKDAY(ROW(INDIRECT($E41:$E42&amp;":"&amp;$F41:$F42)),1)=3))</f>
        <v>2</v>
      </c>
      <c r="J41" s="42">
        <f>SUMPRODUCT(--(WEEKDAY(ROW(INDIRECT($E41:$E42&amp;":"&amp;$F41:$F42)),1)=4))</f>
        <v>1</v>
      </c>
      <c r="K41" s="42">
        <f>SUMPRODUCT(--(WEEKDAY(ROW(INDIRECT($E41:$E42&amp;":"&amp;$F41:$F42)),1)=5))</f>
        <v>2</v>
      </c>
      <c r="L41" s="42">
        <f>SUMPRODUCT(--(WEEKDAY(ROW(INDIRECT($E41:$E42&amp;":"&amp;$F41:$F42)),1)=6))</f>
        <v>2</v>
      </c>
      <c r="M41" s="42">
        <f>SUMPRODUCT(--(WEEKDAY(ROW(INDIRECT($E41:$E42&amp;":"&amp;$F41:$F42)),1)=7))</f>
        <v>2</v>
      </c>
      <c r="N41" s="42">
        <f>SUM(H41:M41)</f>
        <v>11</v>
      </c>
      <c r="O41" s="38">
        <v>11</v>
      </c>
      <c r="P41" s="38"/>
      <c r="Q41" s="43" t="str">
        <f>VLOOKUP($B41,'[2]T01.2025'!C31:F7384,4,0)</f>
        <v>1054843561</v>
      </c>
      <c r="R41" s="43"/>
      <c r="S41" s="44" t="s">
        <v>76</v>
      </c>
      <c r="T41" s="8" t="s">
        <v>22</v>
      </c>
      <c r="U41" s="1" t="s">
        <v>66</v>
      </c>
      <c r="W41" s="2">
        <f t="shared" si="9"/>
        <v>0</v>
      </c>
      <c r="Z41" s="43" t="str">
        <f>VLOOKUP($B41,'[2]Số sổ BHXH T05'!$B$11:$K$11515,10,0)</f>
        <v>Công nhân vận hành máy may công nghiệp</v>
      </c>
    </row>
    <row r="42" ht="32.25" customHeight="1" spans="1:26" x14ac:dyDescent="0.25">
      <c r="A42" s="38">
        <v>30</v>
      </c>
      <c r="B42" s="39" t="s">
        <v>77</v>
      </c>
      <c r="C42" s="40" t="str">
        <f>VLOOKUP($B42,[1]Sheet1!$F$5:$G$69270,2,0)</f>
        <v>ĐÀO THỊ DUNG</v>
      </c>
      <c r="D42" s="38" t="str">
        <f>VLOOKUP($B42,'[2]Số sổ BHXH T05'!$B$11:$K$11515,4,0)</f>
        <v>2713032157</v>
      </c>
      <c r="E42" s="41">
        <v>45971</v>
      </c>
      <c r="F42" s="41">
        <v>45976</v>
      </c>
      <c r="G42" s="42">
        <f>SUMPRODUCT(--(WEEKDAY(ROW(INDIRECT($E42:$E42&amp;":"&amp;$F42:$F42)),1)=1))</f>
        <v>0</v>
      </c>
      <c r="H42" s="42">
        <f>SUMPRODUCT(--(WEEKDAY(ROW(INDIRECT($E42:$E42&amp;":"&amp;$F42:$F42)),1)=2))</f>
        <v>1</v>
      </c>
      <c r="I42" s="42">
        <f>SUMPRODUCT(--(WEEKDAY(ROW(INDIRECT($E42:$E42&amp;":"&amp;$F42:$F42)),1)=3))</f>
        <v>1</v>
      </c>
      <c r="J42" s="42">
        <f>SUMPRODUCT(--(WEEKDAY(ROW(INDIRECT($E42:$E42&amp;":"&amp;$F42:$F42)),1)=4))</f>
        <v>1</v>
      </c>
      <c r="K42" s="42">
        <f>SUMPRODUCT(--(WEEKDAY(ROW(INDIRECT($E42:$E42&amp;":"&amp;$F42:$F42)),1)=5))</f>
        <v>1</v>
      </c>
      <c r="L42" s="42">
        <f>SUMPRODUCT(--(WEEKDAY(ROW(INDIRECT($E42:$E42&amp;":"&amp;$F42:$F42)),1)=6))</f>
        <v>1</v>
      </c>
      <c r="M42" s="42">
        <f>SUMPRODUCT(--(WEEKDAY(ROW(INDIRECT($E42:$E42&amp;":"&amp;$F42:$F42)),1)=7))</f>
        <v>1</v>
      </c>
      <c r="N42" s="42">
        <f t="shared" si="7"/>
        <v>6</v>
      </c>
      <c r="O42" s="38">
        <f t="shared" si="8"/>
        <v>6</v>
      </c>
      <c r="P42" s="38"/>
      <c r="Q42" s="43" t="str">
        <f>VLOOKUP($B42,'[2]T01.2025'!C32:F7385,4,0)</f>
        <v>0351000951797</v>
      </c>
      <c r="R42" s="43"/>
      <c r="S42" s="44"/>
      <c r="T42" s="8" t="s">
        <v>22</v>
      </c>
      <c r="U42" s="1" t="s">
        <v>66</v>
      </c>
      <c r="W42" s="2">
        <f t="shared" si="9"/>
        <v>0</v>
      </c>
      <c r="Z42" s="43" t="str">
        <f>VLOOKUP($B42,'[2]Số sổ BHXH T05'!$B$11:$K$11515,10,0)</f>
        <v>Công nhân kiểm tra chất lượng</v>
      </c>
    </row>
    <row r="43" ht="31.5" customHeight="1" spans="1:21" x14ac:dyDescent="0.25">
      <c r="A43" s="45" t="s">
        <v>78</v>
      </c>
      <c r="B43" s="46"/>
      <c r="C43" s="46"/>
      <c r="D43" s="46"/>
      <c r="E43" s="46"/>
      <c r="F43" s="47"/>
      <c r="G43" s="48"/>
      <c r="H43" s="48"/>
      <c r="I43" s="48"/>
      <c r="J43" s="48"/>
      <c r="K43" s="48"/>
      <c r="L43" s="48"/>
      <c r="M43" s="48"/>
      <c r="N43" s="48"/>
      <c r="O43" s="49">
        <f>SUM(O13:O42)</f>
        <v>115</v>
      </c>
      <c r="P43" s="49"/>
      <c r="Q43" s="50"/>
      <c r="R43" s="49"/>
      <c r="S43" s="51"/>
      <c r="T43" s="12"/>
      <c r="U43" s="16"/>
    </row>
    <row r="44" ht="31.5" customHeight="1" spans="1:21" x14ac:dyDescent="0.25">
      <c r="A44" s="52" t="s">
        <v>79</v>
      </c>
      <c r="B44" s="52"/>
      <c r="C44" s="53" t="s">
        <v>80</v>
      </c>
      <c r="D44" s="53"/>
      <c r="E44" s="53"/>
      <c r="F44" s="53"/>
      <c r="G44" s="54" t="s">
        <v>81</v>
      </c>
      <c r="H44" s="54" t="s">
        <v>82</v>
      </c>
      <c r="I44" s="54" t="s">
        <v>83</v>
      </c>
      <c r="J44" s="54" t="s">
        <v>84</v>
      </c>
      <c r="K44" s="54" t="s">
        <v>85</v>
      </c>
      <c r="L44" s="54" t="s">
        <v>86</v>
      </c>
      <c r="M44" s="54" t="s">
        <v>87</v>
      </c>
      <c r="N44" s="54" t="s">
        <v>88</v>
      </c>
      <c r="O44" s="53"/>
      <c r="P44" s="53"/>
      <c r="Q44" s="53"/>
      <c r="R44" s="52"/>
      <c r="S44" s="53"/>
      <c r="T44" s="12"/>
      <c r="U44" s="16"/>
    </row>
    <row r="45" ht="47.25" customHeight="1" spans="1:26" x14ac:dyDescent="0.25">
      <c r="A45" s="38">
        <v>1</v>
      </c>
      <c r="B45" s="39" t="s">
        <v>89</v>
      </c>
      <c r="C45" s="40" t="str">
        <f>VLOOKUP($B45,[1]Sheet1!$F$5:$G$69270,2,0)</f>
        <v>NGUYỄN ĐỨC THIỆN</v>
      </c>
      <c r="D45" s="38" t="str">
        <f>VLOOKUP($B45,'[2]Số sổ BHXH T05'!$B$11:$K$11515,4,0)</f>
        <v>2416048345</v>
      </c>
      <c r="E45" s="41">
        <v>45972</v>
      </c>
      <c r="F45" s="41">
        <v>45972</v>
      </c>
      <c r="G45" s="42">
        <f>SUMPRODUCT(--(WEEKDAY(ROW(INDIRECT($E45:$E60&amp;":"&amp;$F45:$F57)),1)=1))</f>
        <v>0</v>
      </c>
      <c r="H45" s="42">
        <f>SUMPRODUCT(--(WEEKDAY(ROW(INDIRECT($E45:$E60&amp;":"&amp;$F45:$F57)),1)=2))</f>
        <v>0</v>
      </c>
      <c r="I45" s="42">
        <f>SUMPRODUCT(--(WEEKDAY(ROW(INDIRECT($E45:$E60&amp;":"&amp;$F45:$F57)),1)=3))</f>
        <v>1</v>
      </c>
      <c r="J45" s="42">
        <f>SUMPRODUCT(--(WEEKDAY(ROW(INDIRECT($E45:$E60&amp;":"&amp;$F45:$F57)),1)=4))</f>
        <v>0</v>
      </c>
      <c r="K45" s="42">
        <f>SUMPRODUCT(--(WEEKDAY(ROW(INDIRECT($E45:$E60&amp;":"&amp;$F45:$F57)),1)=5))</f>
        <v>0</v>
      </c>
      <c r="L45" s="42">
        <f>SUMPRODUCT(--(WEEKDAY(ROW(INDIRECT($E45:$E60&amp;":"&amp;$F45:$F57)),1)=6))</f>
        <v>0</v>
      </c>
      <c r="M45" s="42">
        <f>SUMPRODUCT(--(WEEKDAY(ROW(INDIRECT($E45:$E60&amp;":"&amp;$F45:$F57)),1)=7))</f>
        <v>0</v>
      </c>
      <c r="N45" s="42">
        <f t="shared" ref="N45:N46" si="10">SUM(H45:M45)</f>
        <v>1</v>
      </c>
      <c r="O45" s="38">
        <f>F45-E45+1</f>
        <v>1</v>
      </c>
      <c r="P45" s="38"/>
      <c r="Q45" s="43" t="str">
        <f>VLOOKUP($B45,'[2]T01.2025'!C38:F7391,4,0)</f>
        <v>0731000721932</v>
      </c>
      <c r="R45" s="43"/>
      <c r="S45" s="44"/>
      <c r="T45" s="8" t="s">
        <v>22</v>
      </c>
      <c r="U45" s="1" t="s">
        <v>23</v>
      </c>
      <c r="V45" s="2" t="s">
        <v>90</v>
      </c>
      <c r="W45" s="2">
        <f t="shared" ref="W45:W48" si="11">N45-O45</f>
        <v>0</v>
      </c>
      <c r="Z45" s="55" t="str">
        <f>VLOOKUP($B45,'[3]Số sổ BHXH T01'!$B$11:$K$9918,10,0)</f>
        <v>Công nhân vận hành máy may</v>
      </c>
    </row>
    <row r="46" ht="67.5" customHeight="1" spans="1:26" x14ac:dyDescent="0.25">
      <c r="A46" s="38">
        <v>2</v>
      </c>
      <c r="B46" s="39" t="s">
        <v>91</v>
      </c>
      <c r="C46" s="40" t="str">
        <f>VLOOKUP($B46,[1]Sheet1!$F$5:$G$69270,2,0)</f>
        <v>LƯU THỊ TƯ</v>
      </c>
      <c r="D46" s="38" t="str">
        <f>VLOOKUP($B46,'[2]Số sổ BHXH T05'!$B$11:$K$11515,4,0)</f>
        <v>2411001441</v>
      </c>
      <c r="E46" s="41">
        <v>45973</v>
      </c>
      <c r="F46" s="41">
        <v>45973</v>
      </c>
      <c r="G46" s="42">
        <f>SUMPRODUCT(--(WEEKDAY(ROW(INDIRECT($E46:$E61&amp;":"&amp;$F46:$F59)),1)=1))</f>
        <v>0</v>
      </c>
      <c r="H46" s="42">
        <f>SUMPRODUCT(--(WEEKDAY(ROW(INDIRECT($E46:$E61&amp;":"&amp;$F46:$F59)),1)=2))</f>
        <v>0</v>
      </c>
      <c r="I46" s="42">
        <f>SUMPRODUCT(--(WEEKDAY(ROW(INDIRECT($E46:$E61&amp;":"&amp;$F46:$F59)),1)=3))</f>
        <v>0</v>
      </c>
      <c r="J46" s="42">
        <f>SUMPRODUCT(--(WEEKDAY(ROW(INDIRECT($E46:$E61&amp;":"&amp;$F46:$F59)),1)=4))</f>
        <v>1</v>
      </c>
      <c r="K46" s="42">
        <f>SUMPRODUCT(--(WEEKDAY(ROW(INDIRECT($E46:$E61&amp;":"&amp;$F46:$F59)),1)=5))</f>
        <v>0</v>
      </c>
      <c r="L46" s="42">
        <f>SUMPRODUCT(--(WEEKDAY(ROW(INDIRECT($E46:$E61&amp;":"&amp;$F46:$F59)),1)=6))</f>
        <v>0</v>
      </c>
      <c r="M46" s="42">
        <f>SUMPRODUCT(--(WEEKDAY(ROW(INDIRECT($E46:$E61&amp;":"&amp;$F46:$F59)),1)=7))</f>
        <v>0</v>
      </c>
      <c r="N46" s="42">
        <f t="shared" si="10"/>
        <v>1</v>
      </c>
      <c r="O46" s="38">
        <f>F46-E46+1</f>
        <v>1</v>
      </c>
      <c r="P46" s="38"/>
      <c r="Q46" s="43" t="str">
        <f>VLOOKUP($B46,'[2]T01.2025'!C39:F7392,4,0)</f>
        <v>0351000997074</v>
      </c>
      <c r="R46" s="43"/>
      <c r="S46" s="44"/>
      <c r="T46" s="8" t="s">
        <v>22</v>
      </c>
      <c r="U46" s="1" t="s">
        <v>23</v>
      </c>
      <c r="V46" s="2" t="s">
        <v>92</v>
      </c>
      <c r="W46" s="2">
        <f t="shared" si="11"/>
        <v>0</v>
      </c>
      <c r="Z46" s="55" t="str">
        <f>VLOOKUP($B46,'[3]Số sổ BHXH T01'!$B$11:$K$9918,10,0)</f>
        <v>Công nhân vận hành máy may</v>
      </c>
    </row>
    <row r="47" ht="35.25" customHeight="1" spans="1:26" x14ac:dyDescent="0.25">
      <c r="A47" s="38">
        <v>3</v>
      </c>
      <c r="B47" s="39" t="s">
        <v>93</v>
      </c>
      <c r="C47" s="40" t="str">
        <f>VLOOKUP($B47,[1]Sheet1!$F$5:$G$69270,2,0)</f>
        <v>CHU THỊ THỦY</v>
      </c>
      <c r="D47" s="38" t="str">
        <f>VLOOKUP($B47,'[2]Số sổ BHXH T05'!$B$11:$K$11515,4,0)</f>
        <v>2409012025</v>
      </c>
      <c r="E47" s="41">
        <v>45952</v>
      </c>
      <c r="F47" s="41">
        <v>45967</v>
      </c>
      <c r="G47" s="42">
        <f>SUMPRODUCT(--(WEEKDAY(ROW(INDIRECT($E47:$E70&amp;":"&amp;$F47:$F59)),1)=1))</f>
        <v>2</v>
      </c>
      <c r="H47" s="42">
        <f>SUMPRODUCT(--(WEEKDAY(ROW(INDIRECT($E47:$E70&amp;":"&amp;$F47:$F59)),1)=2))</f>
        <v>2</v>
      </c>
      <c r="I47" s="42">
        <f>SUMPRODUCT(--(WEEKDAY(ROW(INDIRECT($E47:$E70&amp;":"&amp;$F47:$F59)),1)=3))</f>
        <v>2</v>
      </c>
      <c r="J47" s="42">
        <f>SUMPRODUCT(--(WEEKDAY(ROW(INDIRECT($E47:$E70&amp;":"&amp;$F47:$F59)),1)=4))</f>
        <v>3</v>
      </c>
      <c r="K47" s="42">
        <f>SUMPRODUCT(--(WEEKDAY(ROW(INDIRECT($E47:$E70&amp;":"&amp;$F47:$F59)),1)=5))</f>
        <v>3</v>
      </c>
      <c r="L47" s="42">
        <f>SUMPRODUCT(--(WEEKDAY(ROW(INDIRECT($E47:$E70&amp;":"&amp;$F47:$F59)),1)=6))</f>
        <v>2</v>
      </c>
      <c r="M47" s="42">
        <f>SUMPRODUCT(--(WEEKDAY(ROW(INDIRECT($E47:$E70&amp;":"&amp;$F47:$F59)),1)=7))</f>
        <v>2</v>
      </c>
      <c r="N47" s="42">
        <f>SUM(H47:M47)</f>
        <v>14</v>
      </c>
      <c r="O47" s="38">
        <v>14</v>
      </c>
      <c r="P47" s="38"/>
      <c r="Q47" s="43" t="str">
        <f>VLOOKUP($B47,'[2]T01.2025'!C40:F7393,4,0)</f>
        <v>0731000592047</v>
      </c>
      <c r="R47" s="43"/>
      <c r="S47" s="44"/>
      <c r="T47" s="8" t="s">
        <v>22</v>
      </c>
      <c r="U47" s="1" t="s">
        <v>66</v>
      </c>
      <c r="W47" s="2">
        <f t="shared" si="11"/>
        <v>0</v>
      </c>
      <c r="Z47" s="55" t="str">
        <f>VLOOKUP($B47,'[3]Số sổ BHXH T01'!$B$11:$K$9918,10,0)</f>
        <v>Công nhân vận hành máy may</v>
      </c>
    </row>
    <row r="48" ht="72" customHeight="1" spans="1:26" x14ac:dyDescent="0.25">
      <c r="A48" s="38">
        <v>4</v>
      </c>
      <c r="B48" s="39" t="s">
        <v>94</v>
      </c>
      <c r="C48" s="40" t="str">
        <f>VLOOKUP($B48,[1]Sheet1!$F$5:$G$69270,2,0)</f>
        <v>TỐNG THỊ QUÝ</v>
      </c>
      <c r="D48" s="38" t="str">
        <f>VLOOKUP($B48,'[2]Số sổ BHXH T05'!$B$11:$K$11515,4,0)</f>
        <v>2422330242</v>
      </c>
      <c r="E48" s="41">
        <v>45968</v>
      </c>
      <c r="F48" s="41">
        <v>45972</v>
      </c>
      <c r="G48" s="42">
        <f>SUMPRODUCT(--(WEEKDAY(ROW(INDIRECT($E48:$E60&amp;":"&amp;$F48:$F65)),1)=1))</f>
        <v>1</v>
      </c>
      <c r="H48" s="42">
        <f>SUMPRODUCT(--(WEEKDAY(ROW(INDIRECT($E48:$E60&amp;":"&amp;$F48:$F65)),1)=2))</f>
        <v>1</v>
      </c>
      <c r="I48" s="42">
        <f>SUMPRODUCT(--(WEEKDAY(ROW(INDIRECT($E48:$E60&amp;":"&amp;$F48:$F65)),1)=3))</f>
        <v>1</v>
      </c>
      <c r="J48" s="42">
        <f>SUMPRODUCT(--(WEEKDAY(ROW(INDIRECT($E48:$E60&amp;":"&amp;$F48:$F65)),1)=4))</f>
        <v>0</v>
      </c>
      <c r="K48" s="42">
        <f>SUMPRODUCT(--(WEEKDAY(ROW(INDIRECT($E48:$E60&amp;":"&amp;$F48:$F65)),1)=5))</f>
        <v>0</v>
      </c>
      <c r="L48" s="42">
        <f>SUMPRODUCT(--(WEEKDAY(ROW(INDIRECT($E48:$E60&amp;":"&amp;$F48:$F65)),1)=6))</f>
        <v>1</v>
      </c>
      <c r="M48" s="42">
        <f>SUMPRODUCT(--(WEEKDAY(ROW(INDIRECT($E48:$E60&amp;":"&amp;$F48:$F65)),1)=7))</f>
        <v>1</v>
      </c>
      <c r="N48" s="42">
        <f>SUM(H48:M48)</f>
        <v>4</v>
      </c>
      <c r="O48" s="38">
        <v>4</v>
      </c>
      <c r="P48" s="38"/>
      <c r="Q48" s="43" t="str">
        <f>VLOOKUP($B48,'[2]T01.2025'!C41:F7394,4,0)</f>
        <v>1024291398</v>
      </c>
      <c r="R48" s="43"/>
      <c r="S48" s="44"/>
      <c r="T48" s="8" t="s">
        <v>22</v>
      </c>
      <c r="U48" s="1" t="s">
        <v>66</v>
      </c>
      <c r="W48" s="2">
        <f t="shared" si="11"/>
        <v>0</v>
      </c>
      <c r="Z48" s="55" t="str">
        <f>VLOOKUP($B48,'[3]Số sổ BHXH T01'!$B$11:$K$9918,10,0)</f>
        <v>Công nhân vận hành máy may</v>
      </c>
    </row>
    <row r="49" ht="31.5" customHeight="1" spans="1:21" x14ac:dyDescent="0.25">
      <c r="A49" s="56" t="s">
        <v>78</v>
      </c>
      <c r="B49" s="57"/>
      <c r="C49" s="57"/>
      <c r="D49" s="57"/>
      <c r="E49" s="57"/>
      <c r="F49" s="48"/>
      <c r="G49" s="48"/>
      <c r="H49" s="48"/>
      <c r="I49" s="48"/>
      <c r="J49" s="48"/>
      <c r="K49" s="48"/>
      <c r="L49" s="48"/>
      <c r="M49" s="48"/>
      <c r="N49" s="48"/>
      <c r="O49" s="49">
        <f>SUM(O45:O48)</f>
        <v>20</v>
      </c>
      <c r="P49" s="49"/>
      <c r="Q49" s="50"/>
      <c r="R49" s="49"/>
      <c r="S49" s="51"/>
      <c r="T49" s="12"/>
      <c r="U49" s="16"/>
    </row>
    <row r="50" ht="31.5" customHeight="1" spans="1:21" x14ac:dyDescent="0.25">
      <c r="A50" s="49" t="s">
        <v>95</v>
      </c>
      <c r="B50" s="58"/>
      <c r="C50" s="59" t="s">
        <v>96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0"/>
      <c r="R50" s="49"/>
      <c r="S50" s="51"/>
      <c r="T50" s="12"/>
      <c r="U50" s="16"/>
    </row>
    <row r="51" ht="31.5" customHeight="1" spans="1:21" x14ac:dyDescent="0.25">
      <c r="A51" s="49" t="s">
        <v>97</v>
      </c>
      <c r="B51" s="58"/>
      <c r="C51" s="60" t="s">
        <v>98</v>
      </c>
      <c r="D51" s="49"/>
      <c r="E51" s="61"/>
      <c r="F51" s="61"/>
      <c r="G51" s="54" t="s">
        <v>81</v>
      </c>
      <c r="H51" s="54" t="s">
        <v>82</v>
      </c>
      <c r="I51" s="54" t="s">
        <v>83</v>
      </c>
      <c r="J51" s="54" t="s">
        <v>84</v>
      </c>
      <c r="K51" s="54" t="s">
        <v>85</v>
      </c>
      <c r="L51" s="54" t="s">
        <v>86</v>
      </c>
      <c r="M51" s="54" t="s">
        <v>87</v>
      </c>
      <c r="N51" s="54" t="s">
        <v>88</v>
      </c>
      <c r="O51" s="49"/>
      <c r="P51" s="49"/>
      <c r="Q51" s="62"/>
      <c r="R51" s="49"/>
      <c r="S51" s="51"/>
      <c r="T51" s="12"/>
      <c r="U51" s="16"/>
    </row>
    <row r="52" ht="33.75" customHeight="1" spans="1:23" x14ac:dyDescent="0.25">
      <c r="A52" s="38">
        <v>1</v>
      </c>
      <c r="B52" s="39" t="s">
        <v>99</v>
      </c>
      <c r="C52" s="40" t="str">
        <f>VLOOKUP($B52,[1]Sheet1!$F$5:$G$50270,2,0)</f>
        <v>NGUYỄN THỊ HƯƠNG</v>
      </c>
      <c r="D52" s="38" t="str">
        <f>VLOOKUP($B52,'[2]Số sổ BHXH T05'!$B$11:$K$11515,4,0)</f>
        <v>2411007325</v>
      </c>
      <c r="E52" s="41">
        <v>45967</v>
      </c>
      <c r="F52" s="41">
        <v>45972</v>
      </c>
      <c r="G52" s="42">
        <f>SUMPRODUCT(--(WEEKDAY(ROW(INDIRECT($E43:$E88&amp;":"&amp;$F43:$F83)),1)=1))</f>
        <v>1</v>
      </c>
      <c r="H52" s="42">
        <f>SUMPRODUCT(--(WEEKDAY(ROW(INDIRECT($E43:$E88&amp;":"&amp;$F43:$F83)),1)=2))</f>
        <v>1</v>
      </c>
      <c r="I52" s="42">
        <f>SUMPRODUCT(--(WEEKDAY(ROW(INDIRECT($E43:$E88&amp;":"&amp;$F43:$F83)),1)=3))</f>
        <v>1</v>
      </c>
      <c r="J52" s="42">
        <f>SUMPRODUCT(--(WEEKDAY(ROW(INDIRECT($E43:$E88&amp;":"&amp;$F43:$F83)),1)=4))</f>
        <v>0</v>
      </c>
      <c r="K52" s="42">
        <f>SUMPRODUCT(--(WEEKDAY(ROW(INDIRECT($E43:$E88&amp;":"&amp;$F43:$F83)),1)=5))</f>
        <v>1</v>
      </c>
      <c r="L52" s="42">
        <f>SUMPRODUCT(--(WEEKDAY(ROW(INDIRECT($E43:$E88&amp;":"&amp;$F43:$F83)),1)=6))</f>
        <v>1</v>
      </c>
      <c r="M52" s="42">
        <f>SUMPRODUCT(--(WEEKDAY(ROW(INDIRECT($E43:$E88&amp;":"&amp;$F43:$F83)),1)=7))</f>
        <v>1</v>
      </c>
      <c r="N52" s="42">
        <f>SUM(H52:M52)</f>
        <v>5</v>
      </c>
      <c r="O52" s="38">
        <v>5</v>
      </c>
      <c r="P52" s="38"/>
      <c r="Q52" s="43" t="str">
        <f>VLOOKUP($B52,'[2]T01.2025'!C45:F7398,4,0)</f>
        <v>0351000776187</v>
      </c>
      <c r="R52" s="63"/>
      <c r="S52" s="64" t="s">
        <v>100</v>
      </c>
      <c r="T52" s="8" t="s">
        <v>96</v>
      </c>
      <c r="U52" s="1" t="s">
        <v>101</v>
      </c>
      <c r="W52" s="2">
        <f t="shared" ref="W52:W62" si="12">N52-O52</f>
        <v>0</v>
      </c>
    </row>
    <row r="53" ht="33.75" customHeight="1" spans="1:23" x14ac:dyDescent="0.25">
      <c r="A53" s="38">
        <v>2</v>
      </c>
      <c r="B53" s="39" t="s">
        <v>102</v>
      </c>
      <c r="C53" s="40" t="str">
        <f>VLOOKUP($B53,[1]Sheet1!$F$5:$G$50270,2,0)</f>
        <v>MAI THỊ LOAN</v>
      </c>
      <c r="D53" s="38" t="str">
        <f>VLOOKUP($B53,'[2]Số sổ BHXH T05'!$B$11:$K$11515,4,0)</f>
        <v>2717061417</v>
      </c>
      <c r="E53" s="41">
        <v>45968</v>
      </c>
      <c r="F53" s="41">
        <v>45972</v>
      </c>
      <c r="G53" s="42">
        <f>SUMPRODUCT(--(WEEKDAY(ROW(INDIRECT($E53:$E91&amp;":"&amp;$F53:$F84)),1)=1))</f>
        <v>1</v>
      </c>
      <c r="H53" s="42">
        <f>SUMPRODUCT(--(WEEKDAY(ROW(INDIRECT($E53:$E91&amp;":"&amp;$F53:$F84)),1)=2))</f>
        <v>1</v>
      </c>
      <c r="I53" s="42">
        <f>SUMPRODUCT(--(WEEKDAY(ROW(INDIRECT($E53:$E91&amp;":"&amp;$F53:$F84)),1)=3))</f>
        <v>1</v>
      </c>
      <c r="J53" s="42">
        <f>SUMPRODUCT(--(WEEKDAY(ROW(INDIRECT($E53:$E91&amp;":"&amp;$F53:$F84)),1)=4))</f>
        <v>0</v>
      </c>
      <c r="K53" s="42">
        <f>SUMPRODUCT(--(WEEKDAY(ROW(INDIRECT($E53:$E91&amp;":"&amp;$F53:$F84)),1)=5))</f>
        <v>0</v>
      </c>
      <c r="L53" s="42">
        <f>SUMPRODUCT(--(WEEKDAY(ROW(INDIRECT($E53:$E91&amp;":"&amp;$F53:$F84)),1)=6))</f>
        <v>1</v>
      </c>
      <c r="M53" s="42">
        <f>SUMPRODUCT(--(WEEKDAY(ROW(INDIRECT($E53:$E91&amp;":"&amp;$F53:$F84)),1)=7))</f>
        <v>1</v>
      </c>
      <c r="N53" s="42">
        <f t="shared" ref="N53:N61" si="13">SUM(H53:M53)</f>
        <v>4</v>
      </c>
      <c r="O53" s="38">
        <v>4</v>
      </c>
      <c r="P53" s="38"/>
      <c r="Q53" s="43" t="str">
        <f>VLOOKUP($B53,'[2]T01.2025'!C46:F7399,4,0)</f>
        <v>1056244792</v>
      </c>
      <c r="R53" s="63"/>
      <c r="S53" s="44" t="s">
        <v>103</v>
      </c>
      <c r="T53" s="8" t="s">
        <v>96</v>
      </c>
      <c r="U53" s="1" t="s">
        <v>101</v>
      </c>
      <c r="W53" s="2">
        <f t="shared" si="12"/>
        <v>0</v>
      </c>
    </row>
    <row r="54" ht="33.75" customHeight="1" spans="1:23" x14ac:dyDescent="0.25">
      <c r="A54" s="38">
        <v>3</v>
      </c>
      <c r="B54" s="39" t="s">
        <v>104</v>
      </c>
      <c r="C54" s="40" t="str">
        <f>VLOOKUP($B54,[1]Sheet1!$F$5:$G$50270,2,0)</f>
        <v>TẠ THỊ THU TRANG</v>
      </c>
      <c r="D54" s="38" t="str">
        <f>VLOOKUP($B54,'[2]Số sổ BHXH T05'!$B$11:$K$11515,4,0)</f>
        <v>2421618007</v>
      </c>
      <c r="E54" s="41">
        <v>45957</v>
      </c>
      <c r="F54" s="41">
        <v>45957</v>
      </c>
      <c r="G54" s="42">
        <f>SUMPRODUCT(--(WEEKDAY(ROW(INDIRECT($E54:$E92&amp;":"&amp;$F54:$F85)),1)=1))</f>
        <v>0</v>
      </c>
      <c r="H54" s="42">
        <f>SUMPRODUCT(--(WEEKDAY(ROW(INDIRECT($E54:$E92&amp;":"&amp;$F54:$F85)),1)=2))</f>
        <v>1</v>
      </c>
      <c r="I54" s="42">
        <f>SUMPRODUCT(--(WEEKDAY(ROW(INDIRECT($E54:$E92&amp;":"&amp;$F54:$F85)),1)=3))</f>
        <v>0</v>
      </c>
      <c r="J54" s="42">
        <f>SUMPRODUCT(--(WEEKDAY(ROW(INDIRECT($E54:$E92&amp;":"&amp;$F54:$F85)),1)=4))</f>
        <v>0</v>
      </c>
      <c r="K54" s="42">
        <f>SUMPRODUCT(--(WEEKDAY(ROW(INDIRECT($E54:$E92&amp;":"&amp;$F54:$F85)),1)=5))</f>
        <v>0</v>
      </c>
      <c r="L54" s="42">
        <f>SUMPRODUCT(--(WEEKDAY(ROW(INDIRECT($E54:$E92&amp;":"&amp;$F54:$F85)),1)=6))</f>
        <v>0</v>
      </c>
      <c r="M54" s="42">
        <f>SUMPRODUCT(--(WEEKDAY(ROW(INDIRECT($E54:$E92&amp;":"&amp;$F54:$F85)),1)=7))</f>
        <v>0</v>
      </c>
      <c r="N54" s="42">
        <f t="shared" si="13"/>
        <v>1</v>
      </c>
      <c r="O54" s="38">
        <f t="shared" ref="O54:O55" si="14">F54-E54+1</f>
        <v>1</v>
      </c>
      <c r="P54" s="38"/>
      <c r="Q54" s="43" t="str">
        <f>VLOOKUP($B54,'[2]T01.2025'!C47:F7400,4,0)</f>
        <v>0731000831043</v>
      </c>
      <c r="R54" s="63"/>
      <c r="S54" s="44" t="s">
        <v>105</v>
      </c>
      <c r="T54" s="8" t="s">
        <v>96</v>
      </c>
      <c r="U54" s="1" t="s">
        <v>106</v>
      </c>
      <c r="V54" s="2" t="s">
        <v>107</v>
      </c>
      <c r="W54" s="2">
        <f t="shared" si="12"/>
        <v>0</v>
      </c>
    </row>
    <row r="55" ht="33.75" customHeight="1" spans="1:23" x14ac:dyDescent="0.25">
      <c r="A55" s="38">
        <v>4</v>
      </c>
      <c r="B55" s="39" t="s">
        <v>108</v>
      </c>
      <c r="C55" s="40" t="str">
        <f>VLOOKUP($B55,[1]Sheet1!$F$5:$G$50270,2,0)</f>
        <v>TẠ THỊ THẢO</v>
      </c>
      <c r="D55" s="38" t="str">
        <f>VLOOKUP($B55,'[2]Số sổ BHXH T05'!$B$11:$K$11515,4,0)</f>
        <v>2416089906</v>
      </c>
      <c r="E55" s="41">
        <v>45961</v>
      </c>
      <c r="F55" s="41">
        <v>45962</v>
      </c>
      <c r="G55" s="42">
        <f>SUMPRODUCT(--(WEEKDAY(ROW(INDIRECT($E55:$E95&amp;":"&amp;$F55:$F87)),1)=1))</f>
        <v>0</v>
      </c>
      <c r="H55" s="42">
        <f>SUMPRODUCT(--(WEEKDAY(ROW(INDIRECT($E55:$E95&amp;":"&amp;$F55:$F87)),1)=2))</f>
        <v>0</v>
      </c>
      <c r="I55" s="42">
        <f>SUMPRODUCT(--(WEEKDAY(ROW(INDIRECT($E55:$E95&amp;":"&amp;$F55:$F87)),1)=3))</f>
        <v>0</v>
      </c>
      <c r="J55" s="42">
        <f>SUMPRODUCT(--(WEEKDAY(ROW(INDIRECT($E55:$E95&amp;":"&amp;$F55:$F87)),1)=4))</f>
        <v>0</v>
      </c>
      <c r="K55" s="42">
        <f>SUMPRODUCT(--(WEEKDAY(ROW(INDIRECT($E55:$E95&amp;":"&amp;$F55:$F87)),1)=5))</f>
        <v>0</v>
      </c>
      <c r="L55" s="42">
        <f>SUMPRODUCT(--(WEEKDAY(ROW(INDIRECT($E55:$E95&amp;":"&amp;$F55:$F87)),1)=6))</f>
        <v>1</v>
      </c>
      <c r="M55" s="42">
        <f>SUMPRODUCT(--(WEEKDAY(ROW(INDIRECT($E55:$E95&amp;":"&amp;$F55:$F87)),1)=7))</f>
        <v>1</v>
      </c>
      <c r="N55" s="42">
        <f t="shared" si="13"/>
        <v>2</v>
      </c>
      <c r="O55" s="38">
        <f t="shared" si="14"/>
        <v>2</v>
      </c>
      <c r="P55" s="38"/>
      <c r="Q55" s="43" t="str">
        <f>VLOOKUP($B55,'[2]T01.2025'!C49:F7402,4,0)</f>
        <v>0351001032772</v>
      </c>
      <c r="R55" s="63"/>
      <c r="S55" s="44" t="s">
        <v>109</v>
      </c>
      <c r="T55" s="8" t="s">
        <v>96</v>
      </c>
      <c r="U55" s="1" t="s">
        <v>101</v>
      </c>
      <c r="W55" s="2">
        <f t="shared" si="12"/>
        <v>0</v>
      </c>
    </row>
    <row r="56" ht="33.75" customHeight="1" spans="1:23" x14ac:dyDescent="0.25">
      <c r="A56" s="38">
        <v>5</v>
      </c>
      <c r="B56" s="39" t="s">
        <v>110</v>
      </c>
      <c r="C56" s="40" t="str">
        <f>VLOOKUP($B56,[1]Sheet1!$F$5:$G$50270,2,0)</f>
        <v>VŨ THỊ BÍCH NGỌC</v>
      </c>
      <c r="D56" s="38" t="str">
        <f>VLOOKUP($B56,'[2]Số sổ BHXH T05'!$B$11:$K$11515,4,0)</f>
        <v>2520868690</v>
      </c>
      <c r="E56" s="41">
        <v>45962</v>
      </c>
      <c r="F56" s="41">
        <v>45973</v>
      </c>
      <c r="G56" s="42">
        <f>SUMPRODUCT(--(WEEKDAY(ROW(INDIRECT($E43:$E75&amp;":"&amp;$F43:$F62)),1)=1))</f>
        <v>2</v>
      </c>
      <c r="H56" s="42">
        <f>SUMPRODUCT(--(WEEKDAY(ROW(INDIRECT($E43:$E75&amp;":"&amp;$F43:$F62)),1)=2))</f>
        <v>2</v>
      </c>
      <c r="I56" s="42">
        <f>SUMPRODUCT(--(WEEKDAY(ROW(INDIRECT($E43:$E75&amp;":"&amp;$F43:$F62)),1)=3))</f>
        <v>2</v>
      </c>
      <c r="J56" s="42">
        <f>SUMPRODUCT(--(WEEKDAY(ROW(INDIRECT($E43:$E75&amp;":"&amp;$F43:$F62)),1)=4))</f>
        <v>2</v>
      </c>
      <c r="K56" s="42">
        <f>SUMPRODUCT(--(WEEKDAY(ROW(INDIRECT($E43:$E75&amp;":"&amp;$F43:$F62)),1)=5))</f>
        <v>1</v>
      </c>
      <c r="L56" s="42">
        <f>SUMPRODUCT(--(WEEKDAY(ROW(INDIRECT($E43:$E75&amp;":"&amp;$F43:$F62)),1)=6))</f>
        <v>1</v>
      </c>
      <c r="M56" s="42">
        <f>SUMPRODUCT(--(WEEKDAY(ROW(INDIRECT($E43:$E75&amp;":"&amp;$F43:$F62)),1)=7))</f>
        <v>2</v>
      </c>
      <c r="N56" s="42">
        <f>SUM(H56:M56)</f>
        <v>10</v>
      </c>
      <c r="O56" s="38">
        <v>10</v>
      </c>
      <c r="P56" s="38"/>
      <c r="Q56" s="43" t="str">
        <f>VLOOKUP($B56,'[2]T01.2025'!C54:F7407,4,0)</f>
        <v>1021233903</v>
      </c>
      <c r="R56" s="43"/>
      <c r="S56" s="44" t="s">
        <v>111</v>
      </c>
      <c r="T56" s="8" t="s">
        <v>96</v>
      </c>
      <c r="U56" s="1" t="s">
        <v>101</v>
      </c>
      <c r="W56" s="2">
        <f t="shared" si="12"/>
        <v>0</v>
      </c>
    </row>
    <row r="57" ht="66" customHeight="1" spans="1:23" x14ac:dyDescent="0.25">
      <c r="A57" s="38">
        <v>6</v>
      </c>
      <c r="B57" s="39" t="s">
        <v>112</v>
      </c>
      <c r="C57" s="40" t="str">
        <f>VLOOKUP($B57,[1]Sheet1!$F$5:$G$50270,2,0)</f>
        <v>HOÀNG THỊ THU NGA</v>
      </c>
      <c r="D57" s="38" t="str">
        <f>VLOOKUP($B57,'[2]Số sổ BHXH T05'!$B$11:$K$11515,4,0)</f>
        <v>2020482124</v>
      </c>
      <c r="E57" s="41">
        <v>45967</v>
      </c>
      <c r="F57" s="41">
        <v>45968</v>
      </c>
      <c r="G57" s="42">
        <f>SUMPRODUCT(--(WEEKDAY(ROW(INDIRECT($E57:$E95&amp;":"&amp;$F57:$F90)),1)=1))</f>
        <v>0</v>
      </c>
      <c r="H57" s="42">
        <f>SUMPRODUCT(--(WEEKDAY(ROW(INDIRECT($E57:$E95&amp;":"&amp;$F57:$F90)),1)=2))</f>
        <v>0</v>
      </c>
      <c r="I57" s="42">
        <f>SUMPRODUCT(--(WEEKDAY(ROW(INDIRECT($E57:$E95&amp;":"&amp;$F57:$F90)),1)=3))</f>
        <v>0</v>
      </c>
      <c r="J57" s="42">
        <f>SUMPRODUCT(--(WEEKDAY(ROW(INDIRECT($E57:$E95&amp;":"&amp;$F57:$F90)),1)=4))</f>
        <v>0</v>
      </c>
      <c r="K57" s="42">
        <f>SUMPRODUCT(--(WEEKDAY(ROW(INDIRECT($E57:$E95&amp;":"&amp;$F57:$F90)),1)=5))</f>
        <v>1</v>
      </c>
      <c r="L57" s="42">
        <f>SUMPRODUCT(--(WEEKDAY(ROW(INDIRECT($E57:$E95&amp;":"&amp;$F57:$F90)),1)=6))</f>
        <v>1</v>
      </c>
      <c r="M57" s="42">
        <f>SUMPRODUCT(--(WEEKDAY(ROW(INDIRECT($E57:$E95&amp;":"&amp;$F57:$F90)),1)=7))</f>
        <v>0</v>
      </c>
      <c r="N57" s="42">
        <f t="shared" si="13"/>
        <v>2</v>
      </c>
      <c r="O57" s="38">
        <v>1.5</v>
      </c>
      <c r="P57" s="38"/>
      <c r="Q57" s="43" t="str">
        <f>VLOOKUP($B57,'[2]T01.2025'!C55:F7408,4,0)</f>
        <v>1013062878</v>
      </c>
      <c r="R57" s="63"/>
      <c r="S57" s="44" t="s">
        <v>113</v>
      </c>
      <c r="T57" s="8" t="s">
        <v>96</v>
      </c>
      <c r="U57" s="1" t="s">
        <v>101</v>
      </c>
      <c r="W57" s="2">
        <f t="shared" si="12"/>
        <v>0.5</v>
      </c>
    </row>
    <row r="58" ht="37.5" customHeight="1" spans="1:23" x14ac:dyDescent="0.25">
      <c r="A58" s="38">
        <v>7</v>
      </c>
      <c r="B58" s="39" t="s">
        <v>114</v>
      </c>
      <c r="C58" s="40" t="str">
        <f>VLOOKUP($B58,[1]Sheet1!$F$5:$G$50270,2,0)</f>
        <v>NGÔ THỊ HOÀI THƯƠNG</v>
      </c>
      <c r="D58" s="38" t="str">
        <f>VLOOKUP($B58,'[2]Số sổ BHXH T05'!$B$11:$K$11515,4,0)</f>
        <v>2420265602</v>
      </c>
      <c r="E58" s="41">
        <v>45962</v>
      </c>
      <c r="F58" s="41">
        <v>45962</v>
      </c>
      <c r="G58" s="42">
        <f>SUMPRODUCT(--(WEEKDAY(ROW(INDIRECT($E58:$E96&amp;":"&amp;$F58:$F92)),1)=1))</f>
        <v>0</v>
      </c>
      <c r="H58" s="42">
        <f>SUMPRODUCT(--(WEEKDAY(ROW(INDIRECT($E58:$E96&amp;":"&amp;$F58:$F92)),1)=2))</f>
        <v>0</v>
      </c>
      <c r="I58" s="42">
        <f>SUMPRODUCT(--(WEEKDAY(ROW(INDIRECT($E58:$E96&amp;":"&amp;$F58:$F92)),1)=3))</f>
        <v>0</v>
      </c>
      <c r="J58" s="42">
        <f>SUMPRODUCT(--(WEEKDAY(ROW(INDIRECT($E58:$E96&amp;":"&amp;$F58:$F92)),1)=4))</f>
        <v>0</v>
      </c>
      <c r="K58" s="42">
        <f>SUMPRODUCT(--(WEEKDAY(ROW(INDIRECT($E58:$E96&amp;":"&amp;$F58:$F92)),1)=5))</f>
        <v>0</v>
      </c>
      <c r="L58" s="42">
        <f>SUMPRODUCT(--(WEEKDAY(ROW(INDIRECT($E58:$E96&amp;":"&amp;$F58:$F92)),1)=6))</f>
        <v>0</v>
      </c>
      <c r="M58" s="42">
        <f>SUMPRODUCT(--(WEEKDAY(ROW(INDIRECT($E58:$E96&amp;":"&amp;$F58:$F92)),1)=7))</f>
        <v>1</v>
      </c>
      <c r="N58" s="42">
        <f>SUM(H58:M58)</f>
        <v>1</v>
      </c>
      <c r="O58" s="38">
        <f t="shared" ref="O58:O62" si="15">F58-E58+1</f>
        <v>1</v>
      </c>
      <c r="P58" s="38"/>
      <c r="Q58" s="43" t="str">
        <f>VLOOKUP($B58,'[2]T01.2025'!C56:F7409,4,0)</f>
        <v>0351001218759</v>
      </c>
      <c r="R58" s="63"/>
      <c r="S58" s="44" t="s">
        <v>115</v>
      </c>
      <c r="T58" s="8" t="s">
        <v>96</v>
      </c>
      <c r="U58" s="1" t="s">
        <v>101</v>
      </c>
      <c r="W58" s="2">
        <f t="shared" si="12"/>
        <v>0</v>
      </c>
    </row>
    <row r="59" ht="37.5" customHeight="1" spans="1:23" x14ac:dyDescent="0.25">
      <c r="A59" s="38">
        <v>8</v>
      </c>
      <c r="B59" s="39" t="s">
        <v>114</v>
      </c>
      <c r="C59" s="40" t="str">
        <f>VLOOKUP($B59,[1]Sheet1!$F$5:$G$50270,2,0)</f>
        <v>NGÔ THỊ HOÀI THƯƠNG</v>
      </c>
      <c r="D59" s="38" t="str">
        <f>VLOOKUP($B59,'[2]Số sổ BHXH T05'!$B$11:$K$11515,4,0)</f>
        <v>2420265602</v>
      </c>
      <c r="E59" s="41">
        <v>45965</v>
      </c>
      <c r="F59" s="41">
        <v>45968</v>
      </c>
      <c r="G59" s="42">
        <f>SUMPRODUCT(--(WEEKDAY(ROW(INDIRECT($E59:$E96&amp;":"&amp;$F59:$F91)),1)=1))</f>
        <v>0</v>
      </c>
      <c r="H59" s="42">
        <f>SUMPRODUCT(--(WEEKDAY(ROW(INDIRECT($E59:$E96&amp;":"&amp;$F59:$F91)),1)=2))</f>
        <v>0</v>
      </c>
      <c r="I59" s="42">
        <f>SUMPRODUCT(--(WEEKDAY(ROW(INDIRECT($E59:$E96&amp;":"&amp;$F59:$F91)),1)=3))</f>
        <v>1</v>
      </c>
      <c r="J59" s="42">
        <f>SUMPRODUCT(--(WEEKDAY(ROW(INDIRECT($E59:$E96&amp;":"&amp;$F59:$F91)),1)=4))</f>
        <v>1</v>
      </c>
      <c r="K59" s="42">
        <f>SUMPRODUCT(--(WEEKDAY(ROW(INDIRECT($E59:$E96&amp;":"&amp;$F59:$F91)),1)=5))</f>
        <v>1</v>
      </c>
      <c r="L59" s="42">
        <f>SUMPRODUCT(--(WEEKDAY(ROW(INDIRECT($E59:$E96&amp;":"&amp;$F59:$F91)),1)=6))</f>
        <v>1</v>
      </c>
      <c r="M59" s="42">
        <f>SUMPRODUCT(--(WEEKDAY(ROW(INDIRECT($E59:$E96&amp;":"&amp;$F59:$F91)),1)=7))</f>
        <v>0</v>
      </c>
      <c r="N59" s="42">
        <f t="shared" si="13"/>
        <v>4</v>
      </c>
      <c r="O59" s="38">
        <f t="shared" si="15"/>
        <v>4</v>
      </c>
      <c r="P59" s="38"/>
      <c r="Q59" s="43" t="str">
        <f>VLOOKUP($B59,'[2]T01.2025'!C57:F7410,4,0)</f>
        <v>0351001218759</v>
      </c>
      <c r="R59" s="63"/>
      <c r="S59" s="44" t="s">
        <v>115</v>
      </c>
      <c r="T59" s="8" t="s">
        <v>96</v>
      </c>
      <c r="U59" s="1" t="s">
        <v>101</v>
      </c>
      <c r="W59" s="2">
        <f t="shared" si="12"/>
        <v>0</v>
      </c>
    </row>
    <row r="60" ht="37.5" customHeight="1" spans="1:23" x14ac:dyDescent="0.25">
      <c r="A60" s="38">
        <v>9</v>
      </c>
      <c r="B60" s="39" t="s">
        <v>116</v>
      </c>
      <c r="C60" s="40" t="str">
        <f>VLOOKUP($B60,[1]Sheet1!$F$5:$G$50270,2,0)</f>
        <v>NGUYỄN THỊ THANH HUYỀN</v>
      </c>
      <c r="D60" s="38" t="str">
        <f>VLOOKUP($B60,'[2]Số sổ BHXH T05'!$B$11:$K$11515,4,0)</f>
        <v>2721535497</v>
      </c>
      <c r="E60" s="41">
        <v>45973</v>
      </c>
      <c r="F60" s="41">
        <v>45975</v>
      </c>
      <c r="G60" s="42">
        <f>SUMPRODUCT(--(WEEKDAY(ROW(INDIRECT($E60:$E96&amp;":"&amp;$F60:$F93)),1)=1))</f>
        <v>0</v>
      </c>
      <c r="H60" s="42">
        <f>SUMPRODUCT(--(WEEKDAY(ROW(INDIRECT($E60:$E96&amp;":"&amp;$F60:$F93)),1)=2))</f>
        <v>0</v>
      </c>
      <c r="I60" s="42">
        <f>SUMPRODUCT(--(WEEKDAY(ROW(INDIRECT($E60:$E96&amp;":"&amp;$F60:$F93)),1)=3))</f>
        <v>0</v>
      </c>
      <c r="J60" s="42">
        <f>SUMPRODUCT(--(WEEKDAY(ROW(INDIRECT($E60:$E96&amp;":"&amp;$F60:$F93)),1)=4))</f>
        <v>1</v>
      </c>
      <c r="K60" s="42">
        <f>SUMPRODUCT(--(WEEKDAY(ROW(INDIRECT($E60:$E96&amp;":"&amp;$F60:$F93)),1)=5))</f>
        <v>1</v>
      </c>
      <c r="L60" s="42">
        <f>SUMPRODUCT(--(WEEKDAY(ROW(INDIRECT($E60:$E96&amp;":"&amp;$F60:$F93)),1)=6))</f>
        <v>1</v>
      </c>
      <c r="M60" s="42">
        <f>SUMPRODUCT(--(WEEKDAY(ROW(INDIRECT($E60:$E96&amp;":"&amp;$F60:$F93)),1)=7))</f>
        <v>0</v>
      </c>
      <c r="N60" s="42">
        <f t="shared" si="13"/>
        <v>3</v>
      </c>
      <c r="O60" s="38">
        <f t="shared" si="15"/>
        <v>3</v>
      </c>
      <c r="P60" s="38"/>
      <c r="Q60" s="43" t="str">
        <f>VLOOKUP($B60,'[2]T01.2025'!C58:F7411,4,0)</f>
        <v>1052308166</v>
      </c>
      <c r="R60" s="63"/>
      <c r="S60" s="44" t="s">
        <v>117</v>
      </c>
      <c r="T60" s="8" t="s">
        <v>96</v>
      </c>
      <c r="U60" s="1" t="s">
        <v>101</v>
      </c>
      <c r="W60" s="2">
        <f t="shared" si="12"/>
        <v>0</v>
      </c>
    </row>
    <row r="61" ht="37.5" customHeight="1" spans="1:23" x14ac:dyDescent="0.25">
      <c r="A61" s="38">
        <v>10</v>
      </c>
      <c r="B61" s="39" t="s">
        <v>118</v>
      </c>
      <c r="C61" s="40" t="str">
        <f>VLOOKUP($B61,[1]Sheet1!$F$5:$G$50270,2,0)</f>
        <v>VŨ THỊ MINH</v>
      </c>
      <c r="D61" s="38" t="str">
        <f>VLOOKUP($B61,'[2]Số sổ BHXH T05'!$B$11:$K$11515,4,0)</f>
        <v>2421566022</v>
      </c>
      <c r="E61" s="41">
        <v>45976</v>
      </c>
      <c r="F61" s="41">
        <v>45976</v>
      </c>
      <c r="G61" s="42">
        <f>SUMPRODUCT(--(WEEKDAY(ROW(INDIRECT($E61:$E96&amp;":"&amp;$F61:$F95)),1)=1))</f>
        <v>0</v>
      </c>
      <c r="H61" s="42">
        <f>SUMPRODUCT(--(WEEKDAY(ROW(INDIRECT($E61:$E96&amp;":"&amp;$F61:$F95)),1)=2))</f>
        <v>0</v>
      </c>
      <c r="I61" s="42">
        <f>SUMPRODUCT(--(WEEKDAY(ROW(INDIRECT($E61:$E96&amp;":"&amp;$F61:$F95)),1)=3))</f>
        <v>0</v>
      </c>
      <c r="J61" s="42">
        <f>SUMPRODUCT(--(WEEKDAY(ROW(INDIRECT($E61:$E96&amp;":"&amp;$F61:$F95)),1)=4))</f>
        <v>0</v>
      </c>
      <c r="K61" s="42">
        <f>SUMPRODUCT(--(WEEKDAY(ROW(INDIRECT($E61:$E96&amp;":"&amp;$F61:$F95)),1)=5))</f>
        <v>0</v>
      </c>
      <c r="L61" s="42">
        <f>SUMPRODUCT(--(WEEKDAY(ROW(INDIRECT($E61:$E96&amp;":"&amp;$F61:$F95)),1)=6))</f>
        <v>0</v>
      </c>
      <c r="M61" s="42">
        <f>SUMPRODUCT(--(WEEKDAY(ROW(INDIRECT($E61:$E96&amp;":"&amp;$F61:$F95)),1)=7))</f>
        <v>1</v>
      </c>
      <c r="N61" s="42">
        <f t="shared" si="13"/>
        <v>1</v>
      </c>
      <c r="O61" s="38">
        <f t="shared" si="15"/>
        <v>1</v>
      </c>
      <c r="P61" s="38"/>
      <c r="Q61" s="43" t="str">
        <f>VLOOKUP($B61,'[2]T01.2025'!C59:F7412,4,0)</f>
        <v>1016078222</v>
      </c>
      <c r="R61" s="63"/>
      <c r="S61" s="44" t="s">
        <v>119</v>
      </c>
      <c r="T61" s="8" t="s">
        <v>96</v>
      </c>
      <c r="U61" s="1" t="s">
        <v>106</v>
      </c>
      <c r="V61" s="2" t="s">
        <v>120</v>
      </c>
      <c r="W61" s="2">
        <f t="shared" si="12"/>
        <v>0</v>
      </c>
    </row>
    <row r="62" ht="37.5" customHeight="1" spans="1:23" x14ac:dyDescent="0.25">
      <c r="A62" s="38">
        <v>11</v>
      </c>
      <c r="B62" s="39" t="s">
        <v>121</v>
      </c>
      <c r="C62" s="40" t="str">
        <f>VLOOKUP($B62,[1]Sheet1!$F$5:$G$50270,2,0)</f>
        <v>NGUYỄN THỊ MỸ DUYÊN</v>
      </c>
      <c r="D62" s="38" t="str">
        <f>VLOOKUP($B62,'[2]Số sổ BHXH T05'!$B$11:$K$11515,4,0)</f>
        <v>2421386381</v>
      </c>
      <c r="E62" s="41">
        <v>45972</v>
      </c>
      <c r="F62" s="41">
        <v>45975</v>
      </c>
      <c r="G62" s="42">
        <f>SUMPRODUCT(--(WEEKDAY(ROW(INDIRECT($E62:$E99&amp;":"&amp;$F62:$F96)),1)=1))</f>
        <v>0</v>
      </c>
      <c r="H62" s="42">
        <f>SUMPRODUCT(--(WEEKDAY(ROW(INDIRECT($E62:$E99&amp;":"&amp;$F62:$F96)),1)=2))</f>
        <v>0</v>
      </c>
      <c r="I62" s="42">
        <f>SUMPRODUCT(--(WEEKDAY(ROW(INDIRECT($E62:$E99&amp;":"&amp;$F62:$F96)),1)=3))</f>
        <v>1</v>
      </c>
      <c r="J62" s="42">
        <f>SUMPRODUCT(--(WEEKDAY(ROW(INDIRECT($E62:$E99&amp;":"&amp;$F62:$F96)),1)=4))</f>
        <v>1</v>
      </c>
      <c r="K62" s="42">
        <f>SUMPRODUCT(--(WEEKDAY(ROW(INDIRECT($E62:$E99&amp;":"&amp;$F62:$F96)),1)=5))</f>
        <v>1</v>
      </c>
      <c r="L62" s="42">
        <f>SUMPRODUCT(--(WEEKDAY(ROW(INDIRECT($E62:$E99&amp;":"&amp;$F62:$F96)),1)=6))</f>
        <v>1</v>
      </c>
      <c r="M62" s="42">
        <f>SUMPRODUCT(--(WEEKDAY(ROW(INDIRECT($E62:$E99&amp;":"&amp;$F62:$F96)),1)=7))</f>
        <v>0</v>
      </c>
      <c r="N62" s="42">
        <f>SUM(H62:M62)</f>
        <v>4</v>
      </c>
      <c r="O62" s="38">
        <f t="shared" si="15"/>
        <v>4</v>
      </c>
      <c r="P62" s="38"/>
      <c r="Q62" s="43" t="str">
        <f>VLOOKUP($B62,'[2]T01.2025'!C61:F7414,4,0)</f>
        <v>0351001143545</v>
      </c>
      <c r="R62" s="63"/>
      <c r="S62" s="44" t="s">
        <v>122</v>
      </c>
      <c r="T62" s="8" t="s">
        <v>96</v>
      </c>
      <c r="U62" s="1" t="s">
        <v>101</v>
      </c>
      <c r="W62" s="2">
        <f t="shared" si="12"/>
        <v>0</v>
      </c>
    </row>
    <row r="63" ht="31.5" customHeight="1" spans="1:21" x14ac:dyDescent="0.25">
      <c r="A63" s="56" t="s">
        <v>78</v>
      </c>
      <c r="B63" s="57"/>
      <c r="C63" s="57"/>
      <c r="D63" s="57"/>
      <c r="E63" s="57"/>
      <c r="F63" s="48"/>
      <c r="G63" s="48"/>
      <c r="H63" s="48"/>
      <c r="I63" s="48"/>
      <c r="J63" s="48"/>
      <c r="K63" s="48"/>
      <c r="L63" s="48"/>
      <c r="M63" s="48"/>
      <c r="N63" s="48"/>
      <c r="O63" s="49">
        <f>SUM(O52:O62)</f>
        <v>36.5</v>
      </c>
      <c r="P63" s="49"/>
      <c r="Q63" s="43"/>
      <c r="R63" s="38"/>
      <c r="S63" s="44"/>
      <c r="U63" s="65"/>
    </row>
    <row r="64" ht="31.5" customHeight="1" spans="1:21" x14ac:dyDescent="0.25">
      <c r="A64" s="49" t="s">
        <v>97</v>
      </c>
      <c r="B64" s="58"/>
      <c r="C64" s="60" t="s">
        <v>123</v>
      </c>
      <c r="D64" s="49"/>
      <c r="E64" s="61"/>
      <c r="F64" s="61"/>
      <c r="G64" s="54" t="s">
        <v>81</v>
      </c>
      <c r="H64" s="54" t="s">
        <v>82</v>
      </c>
      <c r="I64" s="54" t="s">
        <v>83</v>
      </c>
      <c r="J64" s="54" t="s">
        <v>84</v>
      </c>
      <c r="K64" s="54" t="s">
        <v>85</v>
      </c>
      <c r="L64" s="54" t="s">
        <v>86</v>
      </c>
      <c r="M64" s="54" t="s">
        <v>87</v>
      </c>
      <c r="N64" s="54" t="s">
        <v>88</v>
      </c>
      <c r="O64" s="49"/>
      <c r="P64" s="49"/>
      <c r="Q64" s="62"/>
      <c r="R64" s="49"/>
      <c r="S64" s="51"/>
      <c r="T64" s="12"/>
      <c r="U64" s="16"/>
    </row>
    <row r="65" ht="37.5" customHeight="1" spans="1:23" x14ac:dyDescent="0.25">
      <c r="A65" s="38">
        <v>1</v>
      </c>
      <c r="B65" s="39" t="s">
        <v>124</v>
      </c>
      <c r="C65" s="40" t="str">
        <f>VLOOKUP($B65,[1]Sheet1!$F$5:$G$50270,2,0)</f>
        <v>LÊ THỊ NGỌC</v>
      </c>
      <c r="D65" s="38" t="str">
        <f>VLOOKUP($B65,'[2]Số sổ BHXH T05'!$B$11:$K$11515,4,0)</f>
        <v>2717119586</v>
      </c>
      <c r="E65" s="41">
        <v>45975</v>
      </c>
      <c r="F65" s="41">
        <v>45975</v>
      </c>
      <c r="G65" s="42">
        <f>SUMPRODUCT(--(WEEKDAY(ROW(INDIRECT($E55:$E93&amp;":"&amp;$F55:$F86)),1)=1))</f>
        <v>0</v>
      </c>
      <c r="H65" s="42">
        <f>SUMPRODUCT(--(WEEKDAY(ROW(INDIRECT($E55:$E93&amp;":"&amp;$F55:$F86)),1)=2))</f>
        <v>0</v>
      </c>
      <c r="I65" s="42">
        <f>SUMPRODUCT(--(WEEKDAY(ROW(INDIRECT($E55:$E93&amp;":"&amp;$F55:$F86)),1)=3))</f>
        <v>0</v>
      </c>
      <c r="J65" s="42">
        <f>SUMPRODUCT(--(WEEKDAY(ROW(INDIRECT($E55:$E93&amp;":"&amp;$F55:$F86)),1)=4))</f>
        <v>0</v>
      </c>
      <c r="K65" s="42">
        <f>SUMPRODUCT(--(WEEKDAY(ROW(INDIRECT($E55:$E93&amp;":"&amp;$F55:$F86)),1)=5))</f>
        <v>0</v>
      </c>
      <c r="L65" s="42">
        <f>SUMPRODUCT(--(WEEKDAY(ROW(INDIRECT($E55:$E93&amp;":"&amp;$F55:$F86)),1)=6))</f>
        <v>1</v>
      </c>
      <c r="M65" s="42">
        <f>SUMPRODUCT(--(WEEKDAY(ROW(INDIRECT($E55:$E93&amp;":"&amp;$F55:$F86)),1)=7))</f>
        <v>0</v>
      </c>
      <c r="N65" s="42">
        <f>SUM(H65:M65)</f>
        <v>1</v>
      </c>
      <c r="O65" s="38">
        <f>F65-E65+1</f>
        <v>1</v>
      </c>
      <c r="P65" s="38"/>
      <c r="Q65" s="43" t="str">
        <f>VLOOKUP($B65,'[2]T01.2025'!C48:F7401,4,0)</f>
        <v>9359376865</v>
      </c>
      <c r="R65" s="63"/>
      <c r="S65" s="66" t="s">
        <v>125</v>
      </c>
      <c r="T65" s="8" t="s">
        <v>96</v>
      </c>
      <c r="U65" s="1" t="s">
        <v>106</v>
      </c>
      <c r="V65" s="2" t="s">
        <v>126</v>
      </c>
      <c r="W65" s="2">
        <f t="shared" ref="W65:W70" si="16">N65-O65</f>
        <v>0</v>
      </c>
    </row>
    <row r="66" ht="37.5" customHeight="1" spans="1:23" x14ac:dyDescent="0.25">
      <c r="A66" s="38">
        <v>2</v>
      </c>
      <c r="B66" s="39" t="s">
        <v>127</v>
      </c>
      <c r="C66" s="40" t="str">
        <f>VLOOKUP($B66,[1]Sheet1!$F$5:$G$50270,2,0)</f>
        <v>NGÔ THỊ TÂM</v>
      </c>
      <c r="D66" s="38" t="str">
        <f>VLOOKUP($B66,'[2]Số sổ BHXH T05'!$B$11:$K$11515,4,0)</f>
        <v>2416086634</v>
      </c>
      <c r="E66" s="41">
        <v>45969</v>
      </c>
      <c r="F66" s="41">
        <v>45969</v>
      </c>
      <c r="G66" s="42">
        <f>SUMPRODUCT(--(WEEKDAY(ROW(INDIRECT($E66:$E95&amp;":"&amp;$F66:$F88)),1)=1))</f>
        <v>0</v>
      </c>
      <c r="H66" s="42">
        <f>SUMPRODUCT(--(WEEKDAY(ROW(INDIRECT($E66:$E95&amp;":"&amp;$F66:$F88)),1)=2))</f>
        <v>0</v>
      </c>
      <c r="I66" s="42">
        <f>SUMPRODUCT(--(WEEKDAY(ROW(INDIRECT($E66:$E95&amp;":"&amp;$F66:$F88)),1)=3))</f>
        <v>0</v>
      </c>
      <c r="J66" s="42">
        <f>SUMPRODUCT(--(WEEKDAY(ROW(INDIRECT($E66:$E95&amp;":"&amp;$F66:$F88)),1)=4))</f>
        <v>0</v>
      </c>
      <c r="K66" s="42">
        <f>SUMPRODUCT(--(WEEKDAY(ROW(INDIRECT($E66:$E95&amp;":"&amp;$F66:$F88)),1)=5))</f>
        <v>0</v>
      </c>
      <c r="L66" s="42">
        <f>SUMPRODUCT(--(WEEKDAY(ROW(INDIRECT($E66:$E95&amp;":"&amp;$F66:$F88)),1)=6))</f>
        <v>0</v>
      </c>
      <c r="M66" s="42">
        <f>SUMPRODUCT(--(WEEKDAY(ROW(INDIRECT($E66:$E95&amp;":"&amp;$F66:$F88)),1)=7))</f>
        <v>1</v>
      </c>
      <c r="N66" s="42">
        <f>SUM(H66:M66)</f>
        <v>1</v>
      </c>
      <c r="O66" s="38">
        <f>F66-E66+1</f>
        <v>1</v>
      </c>
      <c r="P66" s="38"/>
      <c r="Q66" s="43" t="str">
        <f>VLOOKUP($B66,'[2]T01.2025'!C50:F7403,4,0)</f>
        <v>0731000794754</v>
      </c>
      <c r="R66" s="63"/>
      <c r="S66" s="66" t="s">
        <v>128</v>
      </c>
      <c r="T66" s="8" t="s">
        <v>96</v>
      </c>
      <c r="U66" s="1" t="s">
        <v>101</v>
      </c>
      <c r="W66" s="2">
        <f t="shared" si="16"/>
        <v>0</v>
      </c>
    </row>
    <row r="67" ht="37.5" customHeight="1" spans="1:23" x14ac:dyDescent="0.25">
      <c r="A67" s="38">
        <v>3</v>
      </c>
      <c r="B67" s="39" t="s">
        <v>127</v>
      </c>
      <c r="C67" s="40" t="str">
        <f>VLOOKUP($B67,[1]Sheet1!$F$5:$G$50270,2,0)</f>
        <v>NGÔ THỊ TÂM</v>
      </c>
      <c r="D67" s="38" t="str">
        <f>VLOOKUP($B67,'[2]Số sổ BHXH T05'!$B$11:$K$11515,4,0)</f>
        <v>2416086634</v>
      </c>
      <c r="E67" s="41">
        <v>45972</v>
      </c>
      <c r="F67" s="41">
        <v>45975</v>
      </c>
      <c r="G67" s="42">
        <f>SUMPRODUCT(--(WEEKDAY(ROW(INDIRECT($E67:$E95&amp;":"&amp;$F67:$F89)),1)=1))</f>
        <v>0</v>
      </c>
      <c r="H67" s="42">
        <f>SUMPRODUCT(--(WEEKDAY(ROW(INDIRECT($E67:$E95&amp;":"&amp;$F67:$F89)),1)=2))</f>
        <v>0</v>
      </c>
      <c r="I67" s="42">
        <f>SUMPRODUCT(--(WEEKDAY(ROW(INDIRECT($E67:$E95&amp;":"&amp;$F67:$F89)),1)=3))</f>
        <v>1</v>
      </c>
      <c r="J67" s="42">
        <f>SUMPRODUCT(--(WEEKDAY(ROW(INDIRECT($E67:$E95&amp;":"&amp;$F67:$F89)),1)=4))</f>
        <v>1</v>
      </c>
      <c r="K67" s="42">
        <f>SUMPRODUCT(--(WEEKDAY(ROW(INDIRECT($E67:$E95&amp;":"&amp;$F67:$F89)),1)=5))</f>
        <v>1</v>
      </c>
      <c r="L67" s="42">
        <f>SUMPRODUCT(--(WEEKDAY(ROW(INDIRECT($E67:$E95&amp;":"&amp;$F67:$F89)),1)=6))</f>
        <v>1</v>
      </c>
      <c r="M67" s="42">
        <f>SUMPRODUCT(--(WEEKDAY(ROW(INDIRECT($E67:$E95&amp;":"&amp;$F67:$F89)),1)=7))</f>
        <v>0</v>
      </c>
      <c r="N67" s="42">
        <f t="shared" ref="N67" si="17">SUM(H67:M67)</f>
        <v>4</v>
      </c>
      <c r="O67" s="38">
        <f>F67-E67+1</f>
        <v>4</v>
      </c>
      <c r="P67" s="38"/>
      <c r="Q67" s="43" t="str">
        <f>VLOOKUP($B67,'[2]T01.2025'!C51:F7404,4,0)</f>
        <v>0731000794754</v>
      </c>
      <c r="R67" s="63"/>
      <c r="S67" s="66" t="s">
        <v>128</v>
      </c>
      <c r="T67" s="8" t="s">
        <v>96</v>
      </c>
      <c r="U67" s="1" t="s">
        <v>101</v>
      </c>
      <c r="W67" s="2">
        <f t="shared" si="16"/>
        <v>0</v>
      </c>
    </row>
    <row r="68" ht="37.5" customHeight="1" spans="1:23" x14ac:dyDescent="0.25">
      <c r="A68" s="38">
        <v>4</v>
      </c>
      <c r="B68" s="39" t="s">
        <v>129</v>
      </c>
      <c r="C68" s="40" t="str">
        <f>VLOOKUP($B68,[1]Sheet1!$F$5:$G$50270,2,0)</f>
        <v>HOÀNG THỊ ĐÀO</v>
      </c>
      <c r="D68" s="38" t="str">
        <f>VLOOKUP($B68,'[2]Số sổ BHXH T05'!$B$11:$K$11515,4,0)</f>
        <v>0420430133</v>
      </c>
      <c r="E68" s="41">
        <v>45970</v>
      </c>
      <c r="F68" s="41">
        <v>45971</v>
      </c>
      <c r="G68" s="42">
        <f>SUMPRODUCT(--(WEEKDAY(ROW(INDIRECT($E68:$E95&amp;":"&amp;$F68:$F89)),1)=1))</f>
        <v>1</v>
      </c>
      <c r="H68" s="42">
        <f>SUMPRODUCT(--(WEEKDAY(ROW(INDIRECT($E68:$E95&amp;":"&amp;$F68:$F89)),1)=2))</f>
        <v>1</v>
      </c>
      <c r="I68" s="42">
        <f>SUMPRODUCT(--(WEEKDAY(ROW(INDIRECT($E68:$E95&amp;":"&amp;$F68:$F89)),1)=3))</f>
        <v>0</v>
      </c>
      <c r="J68" s="42">
        <f>SUMPRODUCT(--(WEEKDAY(ROW(INDIRECT($E68:$E95&amp;":"&amp;$F68:$F89)),1)=4))</f>
        <v>0</v>
      </c>
      <c r="K68" s="42">
        <f>SUMPRODUCT(--(WEEKDAY(ROW(INDIRECT($E68:$E95&amp;":"&amp;$F68:$F89)),1)=5))</f>
        <v>0</v>
      </c>
      <c r="L68" s="42">
        <f>SUMPRODUCT(--(WEEKDAY(ROW(INDIRECT($E68:$E95&amp;":"&amp;$F68:$F89)),1)=6))</f>
        <v>0</v>
      </c>
      <c r="M68" s="42">
        <f>SUMPRODUCT(--(WEEKDAY(ROW(INDIRECT($E68:$E95&amp;":"&amp;$F68:$F89)),1)=7))</f>
        <v>0</v>
      </c>
      <c r="N68" s="42">
        <f>SUM(H68:M68)</f>
        <v>1</v>
      </c>
      <c r="O68" s="38">
        <v>1</v>
      </c>
      <c r="P68" s="38"/>
      <c r="Q68" s="43" t="str">
        <f>VLOOKUP($B68,'[2]T01.2025'!C52:F7405,4,0)</f>
        <v>0351001123851</v>
      </c>
      <c r="R68" s="63"/>
      <c r="S68" s="66" t="s">
        <v>130</v>
      </c>
      <c r="T68" s="8" t="s">
        <v>96</v>
      </c>
      <c r="U68" s="1" t="s">
        <v>101</v>
      </c>
      <c r="W68" s="2">
        <f t="shared" si="16"/>
        <v>0</v>
      </c>
    </row>
    <row r="69" ht="37.5" customHeight="1" spans="1:23" x14ac:dyDescent="0.25">
      <c r="A69" s="38">
        <v>5</v>
      </c>
      <c r="B69" s="39" t="s">
        <v>129</v>
      </c>
      <c r="C69" s="40" t="str">
        <f>VLOOKUP($B69,[1]Sheet1!$F$5:$G$50270,2,0)</f>
        <v>HOÀNG THỊ ĐÀO</v>
      </c>
      <c r="D69" s="38" t="str">
        <f>VLOOKUP($B69,'[2]Số sổ BHXH T05'!$B$11:$K$11515,4,0)</f>
        <v>0420430133</v>
      </c>
      <c r="E69" s="41">
        <v>45973</v>
      </c>
      <c r="F69" s="41">
        <v>45974</v>
      </c>
      <c r="G69" s="42">
        <f>SUMPRODUCT(--(WEEKDAY(ROW(INDIRECT($E69:$E95&amp;":"&amp;$F69:$F90)),1)=1))</f>
        <v>0</v>
      </c>
      <c r="H69" s="42">
        <f>SUMPRODUCT(--(WEEKDAY(ROW(INDIRECT($E69:$E95&amp;":"&amp;$F69:$F90)),1)=2))</f>
        <v>0</v>
      </c>
      <c r="I69" s="42">
        <f>SUMPRODUCT(--(WEEKDAY(ROW(INDIRECT($E69:$E95&amp;":"&amp;$F69:$F90)),1)=3))</f>
        <v>0</v>
      </c>
      <c r="J69" s="42">
        <f>SUMPRODUCT(--(WEEKDAY(ROW(INDIRECT($E69:$E95&amp;":"&amp;$F69:$F90)),1)=4))</f>
        <v>1</v>
      </c>
      <c r="K69" s="42">
        <f>SUMPRODUCT(--(WEEKDAY(ROW(INDIRECT($E69:$E95&amp;":"&amp;$F69:$F90)),1)=5))</f>
        <v>1</v>
      </c>
      <c r="L69" s="42">
        <f>SUMPRODUCT(--(WEEKDAY(ROW(INDIRECT($E69:$E95&amp;":"&amp;$F69:$F90)),1)=6))</f>
        <v>0</v>
      </c>
      <c r="M69" s="42">
        <f>SUMPRODUCT(--(WEEKDAY(ROW(INDIRECT($E69:$E95&amp;":"&amp;$F69:$F90)),1)=7))</f>
        <v>0</v>
      </c>
      <c r="N69" s="42">
        <f t="shared" ref="N69" si="18">SUM(H69:M69)</f>
        <v>2</v>
      </c>
      <c r="O69" s="38">
        <f>F69-E69+1</f>
        <v>2</v>
      </c>
      <c r="P69" s="38"/>
      <c r="Q69" s="43" t="str">
        <f>VLOOKUP($B69,'[2]T01.2025'!C53:F7406,4,0)</f>
        <v>0351001123851</v>
      </c>
      <c r="R69" s="63"/>
      <c r="S69" s="66" t="s">
        <v>130</v>
      </c>
      <c r="T69" s="8" t="s">
        <v>96</v>
      </c>
      <c r="U69" s="1" t="s">
        <v>101</v>
      </c>
      <c r="W69" s="2">
        <f t="shared" si="16"/>
        <v>0</v>
      </c>
    </row>
    <row r="70" ht="37.5" customHeight="1" spans="1:23" x14ac:dyDescent="0.25">
      <c r="A70" s="38">
        <v>6</v>
      </c>
      <c r="B70" s="39" t="s">
        <v>131</v>
      </c>
      <c r="C70" s="40" t="str">
        <f>VLOOKUP($B70,[1]Sheet1!$F$5:$G$58270,2,0)</f>
        <v>LƯU THỊ LAN</v>
      </c>
      <c r="D70" s="38" t="str">
        <f>VLOOKUP($B70,'[2]Số sổ BHXH T05'!$B$11:$K$11515,4,0)</f>
        <v>2420319767</v>
      </c>
      <c r="E70" s="41">
        <v>45969</v>
      </c>
      <c r="F70" s="41">
        <v>45974</v>
      </c>
      <c r="G70" s="42">
        <f>SUMPRODUCT(--(WEEKDAY(ROW(INDIRECT($E70:$E103&amp;":"&amp;$F70:$F96)),1)=1))</f>
        <v>1</v>
      </c>
      <c r="H70" s="42">
        <f>SUMPRODUCT(--(WEEKDAY(ROW(INDIRECT($E70:$E103&amp;":"&amp;$F70:$F96)),1)=2))</f>
        <v>1</v>
      </c>
      <c r="I70" s="42">
        <f>SUMPRODUCT(--(WEEKDAY(ROW(INDIRECT($E70:$E103&amp;":"&amp;$F70:$F96)),1)=3))</f>
        <v>1</v>
      </c>
      <c r="J70" s="42">
        <f>SUMPRODUCT(--(WEEKDAY(ROW(INDIRECT($E70:$E103&amp;":"&amp;$F70:$F96)),1)=4))</f>
        <v>1</v>
      </c>
      <c r="K70" s="42">
        <f>SUMPRODUCT(--(WEEKDAY(ROW(INDIRECT($E70:$E103&amp;":"&amp;$F70:$F96)),1)=5))</f>
        <v>1</v>
      </c>
      <c r="L70" s="42">
        <f>SUMPRODUCT(--(WEEKDAY(ROW(INDIRECT($E70:$E103&amp;":"&amp;$F70:$F96)),1)=6))</f>
        <v>0</v>
      </c>
      <c r="M70" s="42">
        <f>SUMPRODUCT(--(WEEKDAY(ROW(INDIRECT($E70:$E103&amp;":"&amp;$F70:$F96)),1)=7))</f>
        <v>1</v>
      </c>
      <c r="N70" s="42">
        <f>SUM(H70:M70)</f>
        <v>5</v>
      </c>
      <c r="O70" s="38">
        <v>5</v>
      </c>
      <c r="P70" s="38"/>
      <c r="Q70" s="43" t="str">
        <f>VLOOKUP($B70,'[2]T01.2025'!C60:F7413,4,0)</f>
        <v>1060670651</v>
      </c>
      <c r="R70" s="63"/>
      <c r="S70" s="66" t="s">
        <v>132</v>
      </c>
      <c r="T70" s="8" t="s">
        <v>96</v>
      </c>
      <c r="U70" s="1" t="s">
        <v>101</v>
      </c>
      <c r="W70" s="2">
        <f t="shared" si="16"/>
        <v>0</v>
      </c>
    </row>
    <row r="71" ht="31.5" customHeight="1" spans="1:23" x14ac:dyDescent="0.25">
      <c r="A71" s="56" t="s">
        <v>78</v>
      </c>
      <c r="B71" s="57"/>
      <c r="C71" s="57"/>
      <c r="D71" s="57"/>
      <c r="E71" s="57"/>
      <c r="F71" s="48"/>
      <c r="G71" s="48"/>
      <c r="H71" s="48"/>
      <c r="I71" s="48"/>
      <c r="J71" s="48"/>
      <c r="K71" s="48"/>
      <c r="L71" s="48"/>
      <c r="M71" s="48"/>
      <c r="N71" s="48"/>
      <c r="O71" s="49">
        <f>SUM(O65:O70)</f>
        <v>14</v>
      </c>
      <c r="P71" s="49"/>
      <c r="Q71" s="43"/>
      <c r="R71" s="38"/>
      <c r="S71" s="44"/>
      <c r="U71" s="65"/>
      <c r="W71" s="2"/>
    </row>
    <row r="72" ht="31.5" customHeight="1" spans="1:21" x14ac:dyDescent="0.25">
      <c r="A72" s="49" t="s">
        <v>133</v>
      </c>
      <c r="B72" s="58"/>
      <c r="C72" s="36" t="s">
        <v>134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8"/>
      <c r="R72" s="57"/>
      <c r="S72" s="69"/>
      <c r="T72" s="12"/>
      <c r="U72" s="16"/>
    </row>
    <row r="73" ht="31.5" customHeight="1" spans="1:21" x14ac:dyDescent="0.25">
      <c r="A73" s="49" t="s">
        <v>135</v>
      </c>
      <c r="B73" s="58"/>
      <c r="C73" s="59" t="s">
        <v>136</v>
      </c>
      <c r="D73" s="49"/>
      <c r="E73" s="61"/>
      <c r="F73" s="61"/>
      <c r="G73" s="54" t="s">
        <v>81</v>
      </c>
      <c r="H73" s="54" t="s">
        <v>82</v>
      </c>
      <c r="I73" s="54" t="s">
        <v>83</v>
      </c>
      <c r="J73" s="54" t="s">
        <v>84</v>
      </c>
      <c r="K73" s="54" t="s">
        <v>85</v>
      </c>
      <c r="L73" s="54" t="s">
        <v>86</v>
      </c>
      <c r="M73" s="54" t="s">
        <v>87</v>
      </c>
      <c r="N73" s="54" t="s">
        <v>88</v>
      </c>
      <c r="O73" s="49"/>
      <c r="P73" s="49"/>
      <c r="Q73" s="50"/>
      <c r="R73" s="49"/>
      <c r="S73" s="51"/>
      <c r="T73" s="12"/>
      <c r="U73" s="16"/>
    </row>
    <row r="74" ht="31.5" customHeight="1" spans="1:23" x14ac:dyDescent="0.25">
      <c r="A74" s="38">
        <v>1</v>
      </c>
      <c r="B74" s="39" t="s">
        <v>137</v>
      </c>
      <c r="C74" s="40" t="str">
        <f>VLOOKUP($B74,[1]Sheet1!$F$5:$G$50270,2,0)</f>
        <v>NGUYỄN THỊ LAN OANH</v>
      </c>
      <c r="D74" s="38" t="str">
        <f>VLOOKUP($B74,'[2]Số sổ BHXH T05'!$B$11:$K$11515,4,0)</f>
        <v>2421402594</v>
      </c>
      <c r="E74" s="41">
        <v>45968</v>
      </c>
      <c r="F74" s="41">
        <v>45969</v>
      </c>
      <c r="G74" s="42">
        <f>SUMPRODUCT(--(WEEKDAY(ROW(INDIRECT($E74:$E100&amp;":"&amp;$F74:$F103)),1)=1))</f>
        <v>0</v>
      </c>
      <c r="H74" s="42">
        <f>SUMPRODUCT(--(WEEKDAY(ROW(INDIRECT($E74:$E100&amp;":"&amp;$F74:$F103)),1)=2))</f>
        <v>0</v>
      </c>
      <c r="I74" s="42">
        <f>SUMPRODUCT(--(WEEKDAY(ROW(INDIRECT($E74:$E100&amp;":"&amp;$F74:$F103)),1)=3))</f>
        <v>0</v>
      </c>
      <c r="J74" s="42">
        <f>SUMPRODUCT(--(WEEKDAY(ROW(INDIRECT($E74:$E100&amp;":"&amp;$F74:$F103)),1)=4))</f>
        <v>0</v>
      </c>
      <c r="K74" s="42">
        <f>SUMPRODUCT(--(WEEKDAY(ROW(INDIRECT($E74:$E100&amp;":"&amp;$F74:$F103)),1)=5))</f>
        <v>0</v>
      </c>
      <c r="L74" s="42">
        <f>SUMPRODUCT(--(WEEKDAY(ROW(INDIRECT($E74:$E100&amp;":"&amp;$F74:$F103)),1)=6))</f>
        <v>1</v>
      </c>
      <c r="M74" s="42">
        <f>SUMPRODUCT(--(WEEKDAY(ROW(INDIRECT($E74:$E100&amp;":"&amp;$F74:$F103)),1)=7))</f>
        <v>1</v>
      </c>
      <c r="N74" s="42">
        <f t="shared" ref="N74:N79" si="19">SUM(H74:M74)</f>
        <v>2</v>
      </c>
      <c r="O74" s="38">
        <f t="shared" ref="O74:O79" si="20">F74-E74+1</f>
        <v>2</v>
      </c>
      <c r="P74" s="38"/>
      <c r="Q74" s="43" t="str">
        <f>VLOOKUP($B74,'[2]T01.2025'!C71:F7424,4,0)</f>
        <v>1047674867</v>
      </c>
      <c r="R74" s="38"/>
      <c r="S74" s="44"/>
      <c r="T74" s="1" t="s">
        <v>136</v>
      </c>
      <c r="U74" s="1" t="s">
        <v>138</v>
      </c>
      <c r="V74" s="70" t="s">
        <v>139</v>
      </c>
      <c r="W74" s="2">
        <f t="shared" ref="W74:W79" si="21">N74-O74</f>
        <v>0</v>
      </c>
    </row>
    <row r="75" ht="31.5" customHeight="1" spans="1:23" x14ac:dyDescent="0.25">
      <c r="A75" s="38">
        <v>2</v>
      </c>
      <c r="B75" s="39" t="s">
        <v>140</v>
      </c>
      <c r="C75" s="40" t="str">
        <f>VLOOKUP($B75,[1]Sheet1!$F$5:$G$50270,2,0)</f>
        <v>HOÀNG THỊ THOA</v>
      </c>
      <c r="D75" s="38" t="str">
        <f>VLOOKUP($B75,'[2]Số sổ BHXH T05'!$B$11:$K$11515,4,0)</f>
        <v>2716094441</v>
      </c>
      <c r="E75" s="41">
        <v>45967</v>
      </c>
      <c r="F75" s="41">
        <v>45968</v>
      </c>
      <c r="G75" s="42">
        <f>SUMPRODUCT(--(WEEKDAY(ROW(INDIRECT($E75:$E100&amp;":"&amp;$F75:$F99)),1)=1))</f>
        <v>0</v>
      </c>
      <c r="H75" s="42">
        <f>SUMPRODUCT(--(WEEKDAY(ROW(INDIRECT($E75:$E100&amp;":"&amp;$F75:$F99)),1)=2))</f>
        <v>0</v>
      </c>
      <c r="I75" s="42">
        <f>SUMPRODUCT(--(WEEKDAY(ROW(INDIRECT($E75:$E100&amp;":"&amp;$F75:$F99)),1)=3))</f>
        <v>0</v>
      </c>
      <c r="J75" s="42">
        <f>SUMPRODUCT(--(WEEKDAY(ROW(INDIRECT($E75:$E100&amp;":"&amp;$F75:$F99)),1)=4))</f>
        <v>0</v>
      </c>
      <c r="K75" s="42">
        <f>SUMPRODUCT(--(WEEKDAY(ROW(INDIRECT($E75:$E100&amp;":"&amp;$F75:$F99)),1)=5))</f>
        <v>1</v>
      </c>
      <c r="L75" s="42">
        <f>SUMPRODUCT(--(WEEKDAY(ROW(INDIRECT($E75:$E100&amp;":"&amp;$F75:$F99)),1)=6))</f>
        <v>1</v>
      </c>
      <c r="M75" s="42">
        <f>SUMPRODUCT(--(WEEKDAY(ROW(INDIRECT($E75:$E100&amp;":"&amp;$F75:$F99)),1)=7))</f>
        <v>0</v>
      </c>
      <c r="N75" s="42">
        <f t="shared" si="19"/>
        <v>2</v>
      </c>
      <c r="O75" s="38">
        <f t="shared" si="20"/>
        <v>2</v>
      </c>
      <c r="P75" s="38"/>
      <c r="Q75" s="43" t="str">
        <f>VLOOKUP($B75,'[2]T01.2025'!C72:F7425,4,0)</f>
        <v>1043317465</v>
      </c>
      <c r="R75" s="38"/>
      <c r="S75" s="44"/>
      <c r="T75" s="1" t="s">
        <v>136</v>
      </c>
      <c r="U75" s="1" t="s">
        <v>138</v>
      </c>
      <c r="V75" s="70" t="s">
        <v>141</v>
      </c>
      <c r="W75" s="2">
        <f t="shared" si="21"/>
        <v>0</v>
      </c>
    </row>
    <row r="76" ht="31.5" customHeight="1" spans="1:23" x14ac:dyDescent="0.25">
      <c r="A76" s="38">
        <v>3</v>
      </c>
      <c r="B76" s="39" t="s">
        <v>142</v>
      </c>
      <c r="C76" s="40" t="str">
        <f>VLOOKUP($B76,[1]Sheet1!$F$5:$G$50270,2,0)</f>
        <v>ĐOÀN THỊ GIANG</v>
      </c>
      <c r="D76" s="38" t="str">
        <f>VLOOKUP($B76,'[2]Số sổ BHXH T05'!$B$11:$K$11515,4,0)</f>
        <v>2715034601</v>
      </c>
      <c r="E76" s="41">
        <v>45973</v>
      </c>
      <c r="F76" s="41">
        <v>45973</v>
      </c>
      <c r="G76" s="42">
        <f>SUMPRODUCT(--(WEEKDAY(ROW(INDIRECT($E76:$E101&amp;":"&amp;$F76:$F100)),1)=1))</f>
        <v>0</v>
      </c>
      <c r="H76" s="42">
        <f>SUMPRODUCT(--(WEEKDAY(ROW(INDIRECT($E76:$E101&amp;":"&amp;$F76:$F100)),1)=2))</f>
        <v>0</v>
      </c>
      <c r="I76" s="42">
        <f>SUMPRODUCT(--(WEEKDAY(ROW(INDIRECT($E76:$E101&amp;":"&amp;$F76:$F100)),1)=3))</f>
        <v>0</v>
      </c>
      <c r="J76" s="42">
        <f>SUMPRODUCT(--(WEEKDAY(ROW(INDIRECT($E76:$E101&amp;":"&amp;$F76:$F100)),1)=4))</f>
        <v>1</v>
      </c>
      <c r="K76" s="42">
        <f>SUMPRODUCT(--(WEEKDAY(ROW(INDIRECT($E76:$E101&amp;":"&amp;$F76:$F100)),1)=5))</f>
        <v>0</v>
      </c>
      <c r="L76" s="42">
        <f>SUMPRODUCT(--(WEEKDAY(ROW(INDIRECT($E76:$E101&amp;":"&amp;$F76:$F100)),1)=6))</f>
        <v>0</v>
      </c>
      <c r="M76" s="42">
        <f>SUMPRODUCT(--(WEEKDAY(ROW(INDIRECT($E76:$E101&amp;":"&amp;$F76:$F100)),1)=7))</f>
        <v>0</v>
      </c>
      <c r="N76" s="42">
        <f t="shared" si="19"/>
        <v>1</v>
      </c>
      <c r="O76" s="38">
        <f t="shared" si="20"/>
        <v>1</v>
      </c>
      <c r="P76" s="38"/>
      <c r="Q76" s="43" t="str">
        <f>VLOOKUP($B76,'[2]T01.2025'!C73:F7426,4,0)</f>
        <v>0351000913274</v>
      </c>
      <c r="R76" s="38"/>
      <c r="S76" s="44"/>
      <c r="T76" s="1" t="s">
        <v>136</v>
      </c>
      <c r="U76" s="1" t="s">
        <v>138</v>
      </c>
      <c r="V76" s="70" t="s">
        <v>143</v>
      </c>
      <c r="W76" s="2">
        <f t="shared" si="21"/>
        <v>0</v>
      </c>
    </row>
    <row r="77" ht="31.5" customHeight="1" spans="1:23" x14ac:dyDescent="0.25">
      <c r="A77" s="38">
        <v>4</v>
      </c>
      <c r="B77" s="39" t="s">
        <v>144</v>
      </c>
      <c r="C77" s="40" t="str">
        <f>VLOOKUP($B77,[1]Sheet1!$F$5:$G$50270,2,0)</f>
        <v>ĐỖ THỊ NGỌC HÂN</v>
      </c>
      <c r="D77" s="38" t="str">
        <f>VLOOKUP($B77,'[2]Số sổ BHXH T05'!$B$11:$K$11515,4,0)</f>
        <v>2421266523</v>
      </c>
      <c r="E77" s="41">
        <v>45976</v>
      </c>
      <c r="F77" s="41">
        <v>45976</v>
      </c>
      <c r="G77" s="42">
        <f>SUMPRODUCT(--(WEEKDAY(ROW(INDIRECT($E77:$E102&amp;":"&amp;$F77:$F105)),1)=1))</f>
        <v>0</v>
      </c>
      <c r="H77" s="42">
        <f>SUMPRODUCT(--(WEEKDAY(ROW(INDIRECT($E77:$E102&amp;":"&amp;$F77:$F105)),1)=2))</f>
        <v>0</v>
      </c>
      <c r="I77" s="42">
        <f>SUMPRODUCT(--(WEEKDAY(ROW(INDIRECT($E77:$E102&amp;":"&amp;$F77:$F105)),1)=3))</f>
        <v>0</v>
      </c>
      <c r="J77" s="42">
        <f>SUMPRODUCT(--(WEEKDAY(ROW(INDIRECT($E77:$E102&amp;":"&amp;$F77:$F105)),1)=4))</f>
        <v>0</v>
      </c>
      <c r="K77" s="42">
        <f>SUMPRODUCT(--(WEEKDAY(ROW(INDIRECT($E77:$E102&amp;":"&amp;$F77:$F105)),1)=5))</f>
        <v>0</v>
      </c>
      <c r="L77" s="42">
        <f>SUMPRODUCT(--(WEEKDAY(ROW(INDIRECT($E77:$E102&amp;":"&amp;$F77:$F105)),1)=6))</f>
        <v>0</v>
      </c>
      <c r="M77" s="42">
        <f>SUMPRODUCT(--(WEEKDAY(ROW(INDIRECT($E77:$E102&amp;":"&amp;$F77:$F105)),1)=7))</f>
        <v>1</v>
      </c>
      <c r="N77" s="42">
        <f t="shared" si="19"/>
        <v>1</v>
      </c>
      <c r="O77" s="38">
        <f t="shared" si="20"/>
        <v>1</v>
      </c>
      <c r="P77" s="38"/>
      <c r="Q77" s="43" t="str">
        <f>VLOOKUP($B77,'[2]T01.2025'!C74:F7427,4,0)</f>
        <v>1020249985</v>
      </c>
      <c r="R77" s="38"/>
      <c r="S77" s="44"/>
      <c r="T77" s="1" t="s">
        <v>136</v>
      </c>
      <c r="U77" s="1" t="s">
        <v>138</v>
      </c>
      <c r="V77" s="70" t="s">
        <v>145</v>
      </c>
      <c r="W77" s="2">
        <f t="shared" si="21"/>
        <v>0</v>
      </c>
    </row>
    <row r="78" ht="31.5" customHeight="1" spans="1:23" x14ac:dyDescent="0.25">
      <c r="A78" s="38">
        <v>5</v>
      </c>
      <c r="B78" s="39" t="s">
        <v>146</v>
      </c>
      <c r="C78" s="40" t="str">
        <f>VLOOKUP($B78,[1]Sheet1!$F$5:$G$50270,2,0)</f>
        <v>NGUYỄN THỊ TRÀ MY</v>
      </c>
      <c r="D78" s="38" t="str">
        <f>VLOOKUP($B78,'[2]Số sổ BHXH T05'!$B$11:$K$11515,4,0)</f>
        <v>2020462541</v>
      </c>
      <c r="E78" s="41">
        <v>45971</v>
      </c>
      <c r="F78" s="41">
        <v>45971</v>
      </c>
      <c r="G78" s="42">
        <f>SUMPRODUCT(--(WEEKDAY(ROW(INDIRECT($E78:$E105&amp;":"&amp;$F78:$F100)),1)=1))</f>
        <v>0</v>
      </c>
      <c r="H78" s="42">
        <f>SUMPRODUCT(--(WEEKDAY(ROW(INDIRECT($E78:$E105&amp;":"&amp;$F78:$F100)),1)=2))</f>
        <v>1</v>
      </c>
      <c r="I78" s="42">
        <f>SUMPRODUCT(--(WEEKDAY(ROW(INDIRECT($E78:$E105&amp;":"&amp;$F78:$F100)),1)=3))</f>
        <v>0</v>
      </c>
      <c r="J78" s="42">
        <f>SUMPRODUCT(--(WEEKDAY(ROW(INDIRECT($E78:$E105&amp;":"&amp;$F78:$F100)),1)=4))</f>
        <v>0</v>
      </c>
      <c r="K78" s="42">
        <f>SUMPRODUCT(--(WEEKDAY(ROW(INDIRECT($E78:$E105&amp;":"&amp;$F78:$F100)),1)=5))</f>
        <v>0</v>
      </c>
      <c r="L78" s="42">
        <f>SUMPRODUCT(--(WEEKDAY(ROW(INDIRECT($E78:$E105&amp;":"&amp;$F78:$F100)),1)=6))</f>
        <v>0</v>
      </c>
      <c r="M78" s="42">
        <f>SUMPRODUCT(--(WEEKDAY(ROW(INDIRECT($E78:$E105&amp;":"&amp;$F78:$F100)),1)=7))</f>
        <v>0</v>
      </c>
      <c r="N78" s="42">
        <f t="shared" si="19"/>
        <v>1</v>
      </c>
      <c r="O78" s="38">
        <f t="shared" si="20"/>
        <v>1</v>
      </c>
      <c r="P78" s="38"/>
      <c r="Q78" s="43" t="str">
        <f>VLOOKUP($B78,'[2]T01.2025'!C75:F7428,4,0)</f>
        <v>1030595106</v>
      </c>
      <c r="R78" s="38"/>
      <c r="S78" s="44"/>
      <c r="T78" s="1" t="s">
        <v>136</v>
      </c>
      <c r="U78" s="1" t="s">
        <v>138</v>
      </c>
      <c r="V78" s="70" t="s">
        <v>147</v>
      </c>
      <c r="W78" s="2">
        <f t="shared" si="21"/>
        <v>0</v>
      </c>
    </row>
    <row r="79" ht="31.5" customHeight="1" spans="1:23" x14ac:dyDescent="0.25">
      <c r="A79" s="38">
        <v>6</v>
      </c>
      <c r="B79" s="39" t="s">
        <v>148</v>
      </c>
      <c r="C79" s="40" t="str">
        <f>VLOOKUP($B79,[1]Sheet1!$F$5:$G$50270,2,0)</f>
        <v>ĐẶNG THỊ THU HẢI</v>
      </c>
      <c r="D79" s="38" t="str">
        <f>VLOOKUP($B79,'[2]Số sổ BHXH T05'!$B$11:$K$11515,4,0)</f>
        <v>1520715409</v>
      </c>
      <c r="E79" s="41">
        <v>45975</v>
      </c>
      <c r="F79" s="41">
        <v>45975</v>
      </c>
      <c r="G79" s="42">
        <f>SUMPRODUCT(--(WEEKDAY(ROW(INDIRECT($E79:$E105&amp;":"&amp;$F79:$F100)),1)=1))</f>
        <v>0</v>
      </c>
      <c r="H79" s="42">
        <f>SUMPRODUCT(--(WEEKDAY(ROW(INDIRECT($E79:$E105&amp;":"&amp;$F79:$F100)),1)=2))</f>
        <v>0</v>
      </c>
      <c r="I79" s="42">
        <f>SUMPRODUCT(--(WEEKDAY(ROW(INDIRECT($E79:$E105&amp;":"&amp;$F79:$F100)),1)=3))</f>
        <v>0</v>
      </c>
      <c r="J79" s="42">
        <f>SUMPRODUCT(--(WEEKDAY(ROW(INDIRECT($E79:$E105&amp;":"&amp;$F79:$F100)),1)=4))</f>
        <v>0</v>
      </c>
      <c r="K79" s="42">
        <f>SUMPRODUCT(--(WEEKDAY(ROW(INDIRECT($E79:$E105&amp;":"&amp;$F79:$F100)),1)=5))</f>
        <v>0</v>
      </c>
      <c r="L79" s="42">
        <f>SUMPRODUCT(--(WEEKDAY(ROW(INDIRECT($E79:$E105&amp;":"&amp;$F79:$F100)),1)=6))</f>
        <v>1</v>
      </c>
      <c r="M79" s="42">
        <f>SUMPRODUCT(--(WEEKDAY(ROW(INDIRECT($E79:$E105&amp;":"&amp;$F79:$F100)),1)=7))</f>
        <v>0</v>
      </c>
      <c r="N79" s="42">
        <f t="shared" si="19"/>
        <v>1</v>
      </c>
      <c r="O79" s="38">
        <f t="shared" si="20"/>
        <v>1</v>
      </c>
      <c r="P79" s="38"/>
      <c r="Q79" s="43" t="str">
        <f>VLOOKUP($B79,'[2]T01.2025'!C76:F7429,4,0)</f>
        <v>1031151584</v>
      </c>
      <c r="R79" s="38"/>
      <c r="S79" s="44"/>
      <c r="T79" s="1" t="s">
        <v>136</v>
      </c>
      <c r="U79" s="1" t="s">
        <v>138</v>
      </c>
      <c r="V79" s="70" t="s">
        <v>149</v>
      </c>
      <c r="W79" s="2">
        <f t="shared" si="21"/>
        <v>0</v>
      </c>
    </row>
    <row r="80" ht="31.5" customHeight="1" spans="1:22" x14ac:dyDescent="0.25">
      <c r="A80" s="56" t="s">
        <v>78</v>
      </c>
      <c r="B80" s="57"/>
      <c r="C80" s="57"/>
      <c r="D80" s="57"/>
      <c r="E80" s="57"/>
      <c r="F80" s="48"/>
      <c r="G80" s="48"/>
      <c r="H80" s="48"/>
      <c r="I80" s="48"/>
      <c r="J80" s="48"/>
      <c r="K80" s="48"/>
      <c r="L80" s="48"/>
      <c r="M80" s="48"/>
      <c r="N80" s="48"/>
      <c r="O80" s="49">
        <f>SUM(O74:O79)</f>
        <v>8</v>
      </c>
      <c r="P80" s="56"/>
      <c r="Q80" s="71"/>
      <c r="R80" s="38"/>
      <c r="S80" s="44"/>
      <c r="V80" s="70"/>
    </row>
    <row r="81" ht="31.5" customHeight="1" spans="1:34" x14ac:dyDescent="0.25">
      <c r="A81" s="72" t="s">
        <v>79</v>
      </c>
      <c r="B81" s="73"/>
      <c r="C81" s="74" t="s">
        <v>150</v>
      </c>
      <c r="D81" s="75"/>
      <c r="E81" s="75"/>
      <c r="F81" s="76"/>
      <c r="G81" s="77"/>
      <c r="H81" s="77"/>
      <c r="I81" s="77"/>
      <c r="J81" s="77"/>
      <c r="K81" s="77"/>
      <c r="L81" s="77"/>
      <c r="M81" s="77"/>
      <c r="N81" s="77"/>
      <c r="O81" s="78"/>
      <c r="P81" s="79"/>
      <c r="Q81" s="80"/>
      <c r="R81" s="81"/>
      <c r="S81" s="82"/>
      <c r="T81" s="83"/>
      <c r="U81" s="84"/>
      <c r="V81" s="70"/>
      <c r="W81" s="2"/>
      <c r="Z81" s="1"/>
      <c r="AA81" s="1"/>
      <c r="AB81" s="85"/>
      <c r="AC81" s="1"/>
      <c r="AD81" s="1"/>
      <c r="AE81" s="83"/>
      <c r="AF81" s="83"/>
      <c r="AG81" s="83"/>
      <c r="AH81" s="83"/>
    </row>
    <row r="82" ht="31.5" customHeight="1" spans="1:34" x14ac:dyDescent="0.25">
      <c r="A82" s="86" t="s">
        <v>151</v>
      </c>
      <c r="B82" s="87"/>
      <c r="C82" s="88" t="s">
        <v>152</v>
      </c>
      <c r="D82" s="89"/>
      <c r="E82" s="89"/>
      <c r="F82" s="90"/>
      <c r="G82" s="54" t="s">
        <v>81</v>
      </c>
      <c r="H82" s="54" t="s">
        <v>82</v>
      </c>
      <c r="I82" s="54" t="s">
        <v>83</v>
      </c>
      <c r="J82" s="54" t="s">
        <v>84</v>
      </c>
      <c r="K82" s="54" t="s">
        <v>85</v>
      </c>
      <c r="L82" s="54" t="s">
        <v>86</v>
      </c>
      <c r="M82" s="54" t="s">
        <v>87</v>
      </c>
      <c r="N82" s="54" t="s">
        <v>88</v>
      </c>
      <c r="O82" s="91"/>
      <c r="P82" s="92"/>
      <c r="Q82" s="93"/>
      <c r="R82" s="94"/>
      <c r="S82" s="95"/>
      <c r="T82" s="83"/>
      <c r="U82" s="84"/>
      <c r="V82" s="96"/>
      <c r="W82" s="2"/>
      <c r="Z82" s="1"/>
      <c r="AA82" s="1"/>
      <c r="AB82" s="85"/>
      <c r="AC82" s="1"/>
      <c r="AD82" s="1"/>
      <c r="AE82" s="83"/>
      <c r="AF82" s="83"/>
      <c r="AG82" s="83"/>
      <c r="AH82" s="83"/>
    </row>
    <row r="83" ht="31.5" customHeight="1" spans="1:23" x14ac:dyDescent="0.25">
      <c r="A83" s="38">
        <v>1</v>
      </c>
      <c r="B83" s="39" t="s">
        <v>153</v>
      </c>
      <c r="C83" s="40" t="str">
        <f>VLOOKUP($B83,[1]Sheet1!$F$5:$G$50270,2,0)</f>
        <v>NGUYỄN THỊ TUYỀN</v>
      </c>
      <c r="D83" s="38" t="str">
        <f>VLOOKUP($B83,'[2]Số sổ BHXH T05'!$B$11:$K$11515,4,0)</f>
        <v>2420742612</v>
      </c>
      <c r="E83" s="41">
        <v>45966</v>
      </c>
      <c r="F83" s="41">
        <v>45985</v>
      </c>
      <c r="G83" s="42">
        <f>SUMPRODUCT(--(WEEKDAY(ROW(INDIRECT($E83:$E107&amp;":"&amp;$F83:$F105)),1)=1))</f>
        <v>3</v>
      </c>
      <c r="H83" s="42">
        <f>SUMPRODUCT(--(WEEKDAY(ROW(INDIRECT($E83:$E107&amp;":"&amp;$F83:$F105)),1)=2))</f>
        <v>3</v>
      </c>
      <c r="I83" s="42">
        <f>SUMPRODUCT(--(WEEKDAY(ROW(INDIRECT($E83:$E107&amp;":"&amp;$F83:$F105)),1)=3))</f>
        <v>2</v>
      </c>
      <c r="J83" s="42">
        <f>SUMPRODUCT(--(WEEKDAY(ROW(INDIRECT($E83:$E107&amp;":"&amp;$F83:$F105)),1)=4))</f>
        <v>3</v>
      </c>
      <c r="K83" s="42">
        <f>SUMPRODUCT(--(WEEKDAY(ROW(INDIRECT($E83:$E107&amp;":"&amp;$F83:$F105)),1)=5))</f>
        <v>3</v>
      </c>
      <c r="L83" s="42">
        <f>SUMPRODUCT(--(WEEKDAY(ROW(INDIRECT($E83:$E107&amp;":"&amp;$F83:$F105)),1)=6))</f>
        <v>3</v>
      </c>
      <c r="M83" s="42">
        <f>SUMPRODUCT(--(WEEKDAY(ROW(INDIRECT($E83:$E107&amp;":"&amp;$F83:$F105)),1)=7))</f>
        <v>3</v>
      </c>
      <c r="N83" s="42">
        <f>SUM(H83:M83)</f>
        <v>17</v>
      </c>
      <c r="O83" s="38">
        <f>F83-E83+1</f>
        <v>20</v>
      </c>
      <c r="P83" s="38"/>
      <c r="Q83" s="43" t="str">
        <f>VLOOKUP($B83,'[2]T01.2025'!C81:F7434,4,0)</f>
        <v>0351001175486</v>
      </c>
      <c r="R83" s="38"/>
      <c r="S83" s="44" t="s">
        <v>154</v>
      </c>
      <c r="T83" s="1" t="s">
        <v>155</v>
      </c>
      <c r="U83" s="1" t="s">
        <v>66</v>
      </c>
      <c r="V83" s="70"/>
      <c r="W83" s="2">
        <f t="shared" ref="W83" si="22">N83-O83</f>
        <v>-3</v>
      </c>
    </row>
    <row r="84" ht="31.5" customHeight="1" spans="1:28" x14ac:dyDescent="0.25">
      <c r="A84" s="56" t="s">
        <v>78</v>
      </c>
      <c r="B84" s="57"/>
      <c r="C84" s="57"/>
      <c r="D84" s="57"/>
      <c r="E84" s="57"/>
      <c r="F84" s="48"/>
      <c r="G84" s="48"/>
      <c r="H84" s="48"/>
      <c r="I84" s="48"/>
      <c r="J84" s="48"/>
      <c r="K84" s="48"/>
      <c r="L84" s="48"/>
      <c r="M84" s="48"/>
      <c r="N84" s="48"/>
      <c r="O84" s="49">
        <f>SUM(O83:O83)</f>
        <v>20</v>
      </c>
      <c r="P84" s="56"/>
      <c r="Q84" s="71"/>
      <c r="R84" s="38"/>
      <c r="S84" s="44"/>
      <c r="U84" s="97"/>
      <c r="V84" s="70"/>
      <c r="W84" s="2"/>
      <c r="Y84" s="85"/>
      <c r="AB84" s="85"/>
    </row>
    <row r="85" ht="31.5" customHeight="1" spans="1:21" x14ac:dyDescent="0.25">
      <c r="A85" s="49" t="s">
        <v>95</v>
      </c>
      <c r="B85" s="58"/>
      <c r="C85" s="59" t="s">
        <v>156</v>
      </c>
      <c r="D85" s="49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49"/>
      <c r="P85" s="49"/>
      <c r="Q85" s="50"/>
      <c r="R85" s="61"/>
      <c r="S85" s="51"/>
      <c r="T85" s="12"/>
      <c r="U85" s="16"/>
    </row>
    <row r="86" ht="31.5" customHeight="1" spans="1:21" x14ac:dyDescent="0.25">
      <c r="A86" s="98" t="s">
        <v>97</v>
      </c>
      <c r="B86" s="99"/>
      <c r="C86" s="60" t="s">
        <v>157</v>
      </c>
      <c r="D86" s="49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49"/>
      <c r="P86" s="49"/>
      <c r="Q86" s="50"/>
      <c r="R86" s="49"/>
      <c r="S86" s="51"/>
      <c r="T86" s="12"/>
      <c r="U86" s="16"/>
    </row>
    <row r="87" ht="31.5" customHeight="1" spans="1:21" x14ac:dyDescent="0.25">
      <c r="A87" s="38" t="s">
        <v>158</v>
      </c>
      <c r="B87" s="100"/>
      <c r="C87" s="40" t="s">
        <v>159</v>
      </c>
      <c r="D87" s="49"/>
      <c r="E87" s="61"/>
      <c r="F87" s="61"/>
      <c r="G87" s="54" t="s">
        <v>81</v>
      </c>
      <c r="H87" s="54" t="s">
        <v>82</v>
      </c>
      <c r="I87" s="54" t="s">
        <v>83</v>
      </c>
      <c r="J87" s="54" t="s">
        <v>84</v>
      </c>
      <c r="K87" s="54" t="s">
        <v>85</v>
      </c>
      <c r="L87" s="54" t="s">
        <v>86</v>
      </c>
      <c r="M87" s="54" t="s">
        <v>87</v>
      </c>
      <c r="N87" s="54" t="s">
        <v>88</v>
      </c>
      <c r="O87" s="49"/>
      <c r="P87" s="49"/>
      <c r="Q87" s="50"/>
      <c r="R87" s="49"/>
      <c r="S87" s="51"/>
      <c r="T87" s="12"/>
      <c r="U87" s="16"/>
    </row>
    <row r="88" ht="31.5" customHeight="1" spans="1:22" x14ac:dyDescent="0.25">
      <c r="A88" s="38">
        <v>1</v>
      </c>
      <c r="B88" s="39" t="s">
        <v>160</v>
      </c>
      <c r="C88" s="40" t="str">
        <f>VLOOKUP($B88,[1]Sheet1!$F$5:$G$50270,2,0)</f>
        <v>TRẦN MỸ HUYỀN</v>
      </c>
      <c r="D88" s="38" t="str">
        <f>VLOOKUP($B88,'[2]Số sổ BHXH T05'!$B$11:$K$11515,4,0)</f>
        <v>2420706161</v>
      </c>
      <c r="E88" s="41">
        <v>45896</v>
      </c>
      <c r="F88" s="41">
        <v>45903</v>
      </c>
      <c r="G88" s="42">
        <f>SUMPRODUCT(--(WEEKDAY(ROW(INDIRECT($E88:$E114&amp;":"&amp;$F88:$F108)),1)=1))</f>
        <v>1</v>
      </c>
      <c r="H88" s="42">
        <f>SUMPRODUCT(--(WEEKDAY(ROW(INDIRECT($E88:$E114&amp;":"&amp;$F88:$F108)),1)=2))</f>
        <v>1</v>
      </c>
      <c r="I88" s="42">
        <f>SUMPRODUCT(--(WEEKDAY(ROW(INDIRECT($E88:$E114&amp;":"&amp;$F88:$F108)),1)=3))</f>
        <v>1</v>
      </c>
      <c r="J88" s="42">
        <f>SUMPRODUCT(--(WEEKDAY(ROW(INDIRECT($E88:$E114&amp;":"&amp;$F88:$F108)),1)=4))</f>
        <v>2</v>
      </c>
      <c r="K88" s="42">
        <f>SUMPRODUCT(--(WEEKDAY(ROW(INDIRECT($E88:$E114&amp;":"&amp;$F88:$F108)),1)=5))</f>
        <v>1</v>
      </c>
      <c r="L88" s="42">
        <f>SUMPRODUCT(--(WEEKDAY(ROW(INDIRECT($E88:$E114&amp;":"&amp;$F88:$F108)),1)=6))</f>
        <v>1</v>
      </c>
      <c r="M88" s="42">
        <f>SUMPRODUCT(--(WEEKDAY(ROW(INDIRECT($E88:$E114&amp;":"&amp;$F88:$F108)),1)=7))</f>
        <v>1</v>
      </c>
      <c r="N88" s="42">
        <f t="shared" ref="N88:N93" si="23">SUM(H88:M88)</f>
        <v>7</v>
      </c>
      <c r="O88" s="38">
        <f t="shared" ref="O88:O93" si="24">F88-E88+1</f>
        <v>8</v>
      </c>
      <c r="P88" s="38"/>
      <c r="Q88" s="43" t="str">
        <f>VLOOKUP($B88,'[2]T01.2025'!C86:F7439,4,0)</f>
        <v>0731000857016</v>
      </c>
      <c r="R88" s="41"/>
      <c r="S88" s="41">
        <v>45897</v>
      </c>
      <c r="T88" s="1" t="s">
        <v>156</v>
      </c>
      <c r="U88" s="6" t="s">
        <v>161</v>
      </c>
      <c r="V88" s="70"/>
    </row>
    <row r="89" ht="31.5" customHeight="1" spans="1:22" x14ac:dyDescent="0.25">
      <c r="A89" s="38">
        <v>2</v>
      </c>
      <c r="B89" s="39" t="s">
        <v>162</v>
      </c>
      <c r="C89" s="40" t="str">
        <f>VLOOKUP($B89,[1]Sheet1!$F$5:$G$50270,2,0)</f>
        <v>ĐÀO THỊ TRANG</v>
      </c>
      <c r="D89" s="38" t="str">
        <f>VLOOKUP($B89,'[2]Số sổ BHXH T05'!$B$11:$K$11515,4,0)</f>
        <v>2421913152</v>
      </c>
      <c r="E89" s="41">
        <v>45962</v>
      </c>
      <c r="F89" s="41">
        <v>45964</v>
      </c>
      <c r="G89" s="42">
        <f>SUMPRODUCT(--(WEEKDAY(ROW(INDIRECT($E89:$E115&amp;":"&amp;$F89:$F109)),1)=1))</f>
        <v>1</v>
      </c>
      <c r="H89" s="42">
        <f>SUMPRODUCT(--(WEEKDAY(ROW(INDIRECT($E89:$E115&amp;":"&amp;$F89:$F109)),1)=2))</f>
        <v>1</v>
      </c>
      <c r="I89" s="42">
        <f>SUMPRODUCT(--(WEEKDAY(ROW(INDIRECT($E89:$E115&amp;":"&amp;$F89:$F109)),1)=3))</f>
        <v>0</v>
      </c>
      <c r="J89" s="42">
        <f>SUMPRODUCT(--(WEEKDAY(ROW(INDIRECT($E89:$E115&amp;":"&amp;$F89:$F109)),1)=4))</f>
        <v>0</v>
      </c>
      <c r="K89" s="42">
        <f>SUMPRODUCT(--(WEEKDAY(ROW(INDIRECT($E89:$E115&amp;":"&amp;$F89:$F109)),1)=5))</f>
        <v>0</v>
      </c>
      <c r="L89" s="42">
        <f>SUMPRODUCT(--(WEEKDAY(ROW(INDIRECT($E89:$E115&amp;":"&amp;$F89:$F109)),1)=6))</f>
        <v>0</v>
      </c>
      <c r="M89" s="42">
        <f>SUMPRODUCT(--(WEEKDAY(ROW(INDIRECT($E89:$E115&amp;":"&amp;$F89:$F109)),1)=7))</f>
        <v>1</v>
      </c>
      <c r="N89" s="42">
        <f t="shared" si="23"/>
        <v>2</v>
      </c>
      <c r="O89" s="38">
        <f t="shared" si="24"/>
        <v>3</v>
      </c>
      <c r="P89" s="38"/>
      <c r="Q89" s="43" t="str">
        <f>VLOOKUP($B89,'[2]T01.2025'!C87:F7440,4,0)</f>
        <v>1022727455</v>
      </c>
      <c r="R89" s="41"/>
      <c r="S89" s="41" t="s">
        <v>163</v>
      </c>
      <c r="T89" s="1" t="s">
        <v>156</v>
      </c>
      <c r="U89" s="6" t="s">
        <v>101</v>
      </c>
      <c r="V89" s="70"/>
    </row>
    <row r="90" ht="31.5" customHeight="1" spans="1:22" x14ac:dyDescent="0.25">
      <c r="A90" s="38">
        <v>3</v>
      </c>
      <c r="B90" s="39" t="s">
        <v>164</v>
      </c>
      <c r="C90" s="40" t="str">
        <f>VLOOKUP($B90,[1]Sheet1!$F$5:$G$50270,2,0)</f>
        <v>ĐỖ THỊ MONG</v>
      </c>
      <c r="D90" s="38" t="str">
        <f>VLOOKUP($B90,'[2]Số sổ BHXH T05'!$B$11:$K$11515,4,0)</f>
        <v>2717107194</v>
      </c>
      <c r="E90" s="41">
        <v>45961</v>
      </c>
      <c r="F90" s="41">
        <v>45968</v>
      </c>
      <c r="G90" s="42">
        <f>SUMPRODUCT(--(WEEKDAY(ROW(INDIRECT($E90:$E116&amp;":"&amp;$F90:$F110)),1)=1))</f>
        <v>1</v>
      </c>
      <c r="H90" s="42">
        <f>SUMPRODUCT(--(WEEKDAY(ROW(INDIRECT($E90:$E116&amp;":"&amp;$F90:$F110)),1)=2))</f>
        <v>1</v>
      </c>
      <c r="I90" s="42">
        <f>SUMPRODUCT(--(WEEKDAY(ROW(INDIRECT($E90:$E116&amp;":"&amp;$F90:$F110)),1)=3))</f>
        <v>1</v>
      </c>
      <c r="J90" s="42">
        <f>SUMPRODUCT(--(WEEKDAY(ROW(INDIRECT($E90:$E116&amp;":"&amp;$F90:$F110)),1)=4))</f>
        <v>1</v>
      </c>
      <c r="K90" s="42">
        <f>SUMPRODUCT(--(WEEKDAY(ROW(INDIRECT($E90:$E116&amp;":"&amp;$F90:$F110)),1)=5))</f>
        <v>1</v>
      </c>
      <c r="L90" s="42">
        <f>SUMPRODUCT(--(WEEKDAY(ROW(INDIRECT($E90:$E116&amp;":"&amp;$F90:$F110)),1)=6))</f>
        <v>2</v>
      </c>
      <c r="M90" s="42">
        <f>SUMPRODUCT(--(WEEKDAY(ROW(INDIRECT($E90:$E116&amp;":"&amp;$F90:$F110)),1)=7))</f>
        <v>1</v>
      </c>
      <c r="N90" s="42">
        <f t="shared" si="23"/>
        <v>7</v>
      </c>
      <c r="O90" s="38">
        <f t="shared" si="24"/>
        <v>8</v>
      </c>
      <c r="P90" s="38"/>
      <c r="Q90" s="43" t="str">
        <f>VLOOKUP($B90,'[2]T01.2025'!C88:F7441,4,0)</f>
        <v>0351000890457</v>
      </c>
      <c r="R90" s="41"/>
      <c r="S90" s="41">
        <v>45962</v>
      </c>
      <c r="T90" s="1" t="s">
        <v>156</v>
      </c>
      <c r="U90" s="6" t="s">
        <v>161</v>
      </c>
      <c r="V90" s="70"/>
    </row>
    <row r="91" ht="31.5" customHeight="1" spans="1:22" x14ac:dyDescent="0.25">
      <c r="A91" s="38">
        <v>4</v>
      </c>
      <c r="B91" s="39" t="s">
        <v>165</v>
      </c>
      <c r="C91" s="40" t="str">
        <f>VLOOKUP($B91,[1]Sheet1!$F$5:$G$50270,2,0)</f>
        <v>HÀ THỊ HUỆ</v>
      </c>
      <c r="D91" s="38" t="str">
        <f>VLOOKUP($B91,'[2]Số sổ BHXH T05'!$B$11:$K$11515,4,0)</f>
        <v>2408021460</v>
      </c>
      <c r="E91" s="41">
        <v>45960</v>
      </c>
      <c r="F91" s="41">
        <v>45964</v>
      </c>
      <c r="G91" s="42">
        <f>SUMPRODUCT(--(WEEKDAY(ROW(INDIRECT($E91:$E117&amp;":"&amp;$F91:$F111)),1)=1))</f>
        <v>1</v>
      </c>
      <c r="H91" s="42">
        <f>SUMPRODUCT(--(WEEKDAY(ROW(INDIRECT($E91:$E117&amp;":"&amp;$F91:$F111)),1)=2))</f>
        <v>1</v>
      </c>
      <c r="I91" s="42">
        <f>SUMPRODUCT(--(WEEKDAY(ROW(INDIRECT($E91:$E117&amp;":"&amp;$F91:$F111)),1)=3))</f>
        <v>0</v>
      </c>
      <c r="J91" s="42">
        <f>SUMPRODUCT(--(WEEKDAY(ROW(INDIRECT($E91:$E117&amp;":"&amp;$F91:$F111)),1)=4))</f>
        <v>0</v>
      </c>
      <c r="K91" s="42">
        <f>SUMPRODUCT(--(WEEKDAY(ROW(INDIRECT($E91:$E117&amp;":"&amp;$F91:$F111)),1)=5))</f>
        <v>1</v>
      </c>
      <c r="L91" s="42">
        <f>SUMPRODUCT(--(WEEKDAY(ROW(INDIRECT($E91:$E117&amp;":"&amp;$F91:$F111)),1)=6))</f>
        <v>1</v>
      </c>
      <c r="M91" s="42">
        <f>SUMPRODUCT(--(WEEKDAY(ROW(INDIRECT($E91:$E117&amp;":"&amp;$F91:$F111)),1)=7))</f>
        <v>1</v>
      </c>
      <c r="N91" s="42">
        <f t="shared" si="23"/>
        <v>4</v>
      </c>
      <c r="O91" s="38">
        <f t="shared" si="24"/>
        <v>5</v>
      </c>
      <c r="P91" s="38"/>
      <c r="Q91" s="43" t="str">
        <f>VLOOKUP($B91,'[2]T01.2025'!C89:F7442,4,0)</f>
        <v>0351000943747</v>
      </c>
      <c r="R91" s="41"/>
      <c r="S91" s="41">
        <v>45960</v>
      </c>
      <c r="T91" s="1" t="s">
        <v>156</v>
      </c>
      <c r="U91" s="6" t="s">
        <v>101</v>
      </c>
      <c r="V91" s="70"/>
    </row>
    <row r="92" ht="31.5" customHeight="1" spans="1:22" x14ac:dyDescent="0.25">
      <c r="A92" s="38">
        <v>5</v>
      </c>
      <c r="B92" s="39" t="s">
        <v>166</v>
      </c>
      <c r="C92" s="40" t="str">
        <f>VLOOKUP($B92,[1]Sheet1!$F$5:$G$50270,2,0)</f>
        <v>NGUYỄN THỊ THÚY</v>
      </c>
      <c r="D92" s="38" t="str">
        <f>VLOOKUP($B92,'[2]Số sổ BHXH T05'!$B$11:$K$11515,4,0)</f>
        <v>2422202441</v>
      </c>
      <c r="E92" s="41">
        <v>45957</v>
      </c>
      <c r="F92" s="41">
        <v>45960</v>
      </c>
      <c r="G92" s="42">
        <f>SUMPRODUCT(--(WEEKDAY(ROW(INDIRECT($E92:$E117&amp;":"&amp;$F92:$F112)),1)=1))</f>
        <v>0</v>
      </c>
      <c r="H92" s="42">
        <f>SUMPRODUCT(--(WEEKDAY(ROW(INDIRECT($E92:$E117&amp;":"&amp;$F92:$F112)),1)=2))</f>
        <v>1</v>
      </c>
      <c r="I92" s="42">
        <f>SUMPRODUCT(--(WEEKDAY(ROW(INDIRECT($E92:$E117&amp;":"&amp;$F92:$F112)),1)=3))</f>
        <v>1</v>
      </c>
      <c r="J92" s="42">
        <f>SUMPRODUCT(--(WEEKDAY(ROW(INDIRECT($E92:$E117&amp;":"&amp;$F92:$F112)),1)=4))</f>
        <v>1</v>
      </c>
      <c r="K92" s="42">
        <f>SUMPRODUCT(--(WEEKDAY(ROW(INDIRECT($E92:$E117&amp;":"&amp;$F92:$F112)),1)=5))</f>
        <v>1</v>
      </c>
      <c r="L92" s="42">
        <f>SUMPRODUCT(--(WEEKDAY(ROW(INDIRECT($E92:$E117&amp;":"&amp;$F92:$F112)),1)=6))</f>
        <v>0</v>
      </c>
      <c r="M92" s="42">
        <f>SUMPRODUCT(--(WEEKDAY(ROW(INDIRECT($E92:$E117&amp;":"&amp;$F92:$F112)),1)=7))</f>
        <v>0</v>
      </c>
      <c r="N92" s="42">
        <f t="shared" si="23"/>
        <v>4</v>
      </c>
      <c r="O92" s="38">
        <f t="shared" si="24"/>
        <v>4</v>
      </c>
      <c r="P92" s="38"/>
      <c r="Q92" s="43" t="str">
        <f>VLOOKUP($B92,'[2]T01.2025'!C90:F7443,4,0)</f>
        <v>0351001139137</v>
      </c>
      <c r="R92" s="41"/>
      <c r="S92" s="41">
        <v>45958</v>
      </c>
      <c r="T92" s="1" t="s">
        <v>156</v>
      </c>
      <c r="U92" s="6" t="s">
        <v>101</v>
      </c>
      <c r="V92" s="70"/>
    </row>
    <row r="93" ht="31.5" customHeight="1" spans="1:22" x14ac:dyDescent="0.25">
      <c r="A93" s="38">
        <v>6</v>
      </c>
      <c r="B93" s="39" t="s">
        <v>167</v>
      </c>
      <c r="C93" s="40" t="str">
        <f>VLOOKUP($B93,[1]Sheet1!$F$5:$G$50270,2,0)</f>
        <v>ĐOÀN THỊ CẨM LY</v>
      </c>
      <c r="D93" s="38" t="str">
        <f>VLOOKUP($B93,'[2]Số sổ BHXH T05'!$B$11:$K$11515,4,0)</f>
        <v>2420836904</v>
      </c>
      <c r="E93" s="41">
        <v>45964</v>
      </c>
      <c r="F93" s="41">
        <v>45967</v>
      </c>
      <c r="G93" s="42">
        <f>SUMPRODUCT(--(WEEKDAY(ROW(INDIRECT($E93:$E118&amp;":"&amp;$F93:$F113)),1)=1))</f>
        <v>0</v>
      </c>
      <c r="H93" s="42">
        <f>SUMPRODUCT(--(WEEKDAY(ROW(INDIRECT($E93:$E118&amp;":"&amp;$F93:$F113)),1)=2))</f>
        <v>1</v>
      </c>
      <c r="I93" s="42">
        <f>SUMPRODUCT(--(WEEKDAY(ROW(INDIRECT($E93:$E118&amp;":"&amp;$F93:$F113)),1)=3))</f>
        <v>1</v>
      </c>
      <c r="J93" s="42">
        <f>SUMPRODUCT(--(WEEKDAY(ROW(INDIRECT($E93:$E118&amp;":"&amp;$F93:$F113)),1)=4))</f>
        <v>1</v>
      </c>
      <c r="K93" s="42">
        <f>SUMPRODUCT(--(WEEKDAY(ROW(INDIRECT($E93:$E118&amp;":"&amp;$F93:$F113)),1)=5))</f>
        <v>1</v>
      </c>
      <c r="L93" s="42">
        <f>SUMPRODUCT(--(WEEKDAY(ROW(INDIRECT($E93:$E118&amp;":"&amp;$F93:$F113)),1)=6))</f>
        <v>0</v>
      </c>
      <c r="M93" s="42">
        <f>SUMPRODUCT(--(WEEKDAY(ROW(INDIRECT($E93:$E118&amp;":"&amp;$F93:$F113)),1)=7))</f>
        <v>0</v>
      </c>
      <c r="N93" s="42">
        <f t="shared" si="23"/>
        <v>4</v>
      </c>
      <c r="O93" s="38">
        <f t="shared" si="24"/>
        <v>4</v>
      </c>
      <c r="P93" s="38"/>
      <c r="Q93" s="43" t="str">
        <f>VLOOKUP($B93,'[2]T01.2025'!C91:F7444,4,0)</f>
        <v>1016102652</v>
      </c>
      <c r="R93" s="41"/>
      <c r="S93" s="41">
        <v>45964</v>
      </c>
      <c r="T93" s="1" t="s">
        <v>156</v>
      </c>
      <c r="U93" s="6" t="s">
        <v>101</v>
      </c>
      <c r="V93" s="70"/>
    </row>
    <row r="94" ht="31.5" customHeight="1" spans="1:22" x14ac:dyDescent="0.25">
      <c r="A94" s="38">
        <v>7</v>
      </c>
      <c r="B94" s="39" t="s">
        <v>168</v>
      </c>
      <c r="C94" s="40" t="str">
        <f>VLOOKUP($B94,[1]Sheet1!$F$5:$G$50270,2,0)</f>
        <v>VI THỊ ÚT YẾN</v>
      </c>
      <c r="D94" s="38" t="str">
        <f>VLOOKUP($B94,'[2]Số sổ BHXH T05'!$B$11:$K$11515,4,0)</f>
        <v>2712070720</v>
      </c>
      <c r="E94" s="41">
        <v>45964</v>
      </c>
      <c r="F94" s="41">
        <v>45967</v>
      </c>
      <c r="G94" s="42">
        <f>SUMPRODUCT(--(WEEKDAY(ROW(INDIRECT($E94:$E118&amp;":"&amp;$F94:$F114)),1)=1))</f>
        <v>0</v>
      </c>
      <c r="H94" s="42">
        <f>SUMPRODUCT(--(WEEKDAY(ROW(INDIRECT($E94:$E118&amp;":"&amp;$F94:$F114)),1)=2))</f>
        <v>1</v>
      </c>
      <c r="I94" s="42">
        <f>SUMPRODUCT(--(WEEKDAY(ROW(INDIRECT($E94:$E118&amp;":"&amp;$F94:$F114)),1)=3))</f>
        <v>1</v>
      </c>
      <c r="J94" s="42">
        <f>SUMPRODUCT(--(WEEKDAY(ROW(INDIRECT($E94:$E118&amp;":"&amp;$F94:$F114)),1)=4))</f>
        <v>1</v>
      </c>
      <c r="K94" s="42">
        <f>SUMPRODUCT(--(WEEKDAY(ROW(INDIRECT($E94:$E118&amp;":"&amp;$F94:$F114)),1)=5))</f>
        <v>1</v>
      </c>
      <c r="L94" s="42">
        <f>SUMPRODUCT(--(WEEKDAY(ROW(INDIRECT($E94:$E118&amp;":"&amp;$F94:$F114)),1)=6))</f>
        <v>0</v>
      </c>
      <c r="M94" s="42">
        <f>SUMPRODUCT(--(WEEKDAY(ROW(INDIRECT($E94:$E118&amp;":"&amp;$F94:$F114)),1)=7))</f>
        <v>0</v>
      </c>
      <c r="N94" s="42">
        <f>SUM(H94:M94)</f>
        <v>4</v>
      </c>
      <c r="O94" s="38">
        <f>F94-E94+1</f>
        <v>4</v>
      </c>
      <c r="P94" s="38"/>
      <c r="Q94" s="43" t="str">
        <f>VLOOKUP($B94,'[2]T01.2025'!C92:F7445,4,0)</f>
        <v>0351000715371</v>
      </c>
      <c r="R94" s="41"/>
      <c r="S94" s="41">
        <v>45964</v>
      </c>
      <c r="T94" s="1" t="s">
        <v>156</v>
      </c>
      <c r="U94" s="6" t="s">
        <v>101</v>
      </c>
      <c r="V94" s="70"/>
    </row>
    <row r="95" ht="31.5" customHeight="1" spans="1:22" x14ac:dyDescent="0.25">
      <c r="A95" s="38">
        <v>8</v>
      </c>
      <c r="B95" s="39" t="s">
        <v>169</v>
      </c>
      <c r="C95" s="40" t="str">
        <f>VLOOKUP($B95,[1]Sheet1!$F$5:$G$50270,2,0)</f>
        <v>TRƯƠNG THỊ BÍCH ĐIỆP</v>
      </c>
      <c r="D95" s="38" t="str">
        <f>VLOOKUP($B95,'[2]Số sổ BHXH T05'!$B$11:$K$11515,4,0)</f>
        <v>2713090143</v>
      </c>
      <c r="E95" s="41">
        <v>45968</v>
      </c>
      <c r="F95" s="41">
        <v>45972</v>
      </c>
      <c r="G95" s="42">
        <f>SUMPRODUCT(--(WEEKDAY(ROW(INDIRECT($E95:$E119&amp;":"&amp;$F95:$F114)),1)=1))</f>
        <v>1</v>
      </c>
      <c r="H95" s="42">
        <f>SUMPRODUCT(--(WEEKDAY(ROW(INDIRECT($E95:$E119&amp;":"&amp;$F95:$F114)),1)=2))</f>
        <v>1</v>
      </c>
      <c r="I95" s="42">
        <f>SUMPRODUCT(--(WEEKDAY(ROW(INDIRECT($E95:$E119&amp;":"&amp;$F95:$F114)),1)=3))</f>
        <v>1</v>
      </c>
      <c r="J95" s="42">
        <f>SUMPRODUCT(--(WEEKDAY(ROW(INDIRECT($E95:$E119&amp;":"&amp;$F95:$F114)),1)=4))</f>
        <v>0</v>
      </c>
      <c r="K95" s="42">
        <f>SUMPRODUCT(--(WEEKDAY(ROW(INDIRECT($E95:$E119&amp;":"&amp;$F95:$F114)),1)=5))</f>
        <v>0</v>
      </c>
      <c r="L95" s="42">
        <f>SUMPRODUCT(--(WEEKDAY(ROW(INDIRECT($E95:$E119&amp;":"&amp;$F95:$F114)),1)=6))</f>
        <v>1</v>
      </c>
      <c r="M95" s="42">
        <f>SUMPRODUCT(--(WEEKDAY(ROW(INDIRECT($E95:$E119&amp;":"&amp;$F95:$F114)),1)=7))</f>
        <v>1</v>
      </c>
      <c r="N95" s="42">
        <f>SUM(H95:M95)</f>
        <v>4</v>
      </c>
      <c r="O95" s="38">
        <f>F95-E95+1</f>
        <v>5</v>
      </c>
      <c r="P95" s="38"/>
      <c r="Q95" s="43" t="str">
        <f>VLOOKUP($B95,'[2]T01.2025'!C93:F7446,4,0)</f>
        <v>1050013398</v>
      </c>
      <c r="R95" s="41"/>
      <c r="S95" s="41">
        <v>45969</v>
      </c>
      <c r="T95" s="1" t="s">
        <v>156</v>
      </c>
      <c r="U95" s="6" t="s">
        <v>101</v>
      </c>
      <c r="V95" s="70"/>
    </row>
    <row r="96" ht="31.5" customHeight="1" spans="1:19" x14ac:dyDescent="0.25">
      <c r="A96" s="56" t="s">
        <v>78</v>
      </c>
      <c r="B96" s="57"/>
      <c r="C96" s="57"/>
      <c r="D96" s="57"/>
      <c r="E96" s="57"/>
      <c r="F96" s="48"/>
      <c r="G96" s="48"/>
      <c r="H96" s="48"/>
      <c r="I96" s="48"/>
      <c r="J96" s="48"/>
      <c r="K96" s="48"/>
      <c r="L96" s="48"/>
      <c r="M96" s="48"/>
      <c r="N96" s="48"/>
      <c r="O96" s="49">
        <f>SUM(O88:O95)</f>
        <v>41</v>
      </c>
      <c r="P96" s="49"/>
      <c r="Q96" s="43"/>
      <c r="R96" s="38"/>
      <c r="S96" s="44"/>
    </row>
    <row r="97" ht="31.5" customHeight="1" spans="1:21" x14ac:dyDescent="0.25">
      <c r="A97" s="49" t="s">
        <v>170</v>
      </c>
      <c r="B97" s="58"/>
      <c r="C97" s="101" t="s">
        <v>171</v>
      </c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102"/>
      <c r="R97" s="49"/>
      <c r="S97" s="51"/>
      <c r="T97" s="12"/>
      <c r="U97" s="16"/>
    </row>
    <row r="98" ht="31.5" customHeight="1" spans="1:28" x14ac:dyDescent="0.25">
      <c r="A98" s="38" t="s">
        <v>97</v>
      </c>
      <c r="B98" s="100"/>
      <c r="C98" s="103" t="s">
        <v>172</v>
      </c>
      <c r="D98" s="104"/>
      <c r="E98" s="104"/>
      <c r="F98" s="104"/>
      <c r="G98" s="54" t="s">
        <v>81</v>
      </c>
      <c r="H98" s="54" t="s">
        <v>82</v>
      </c>
      <c r="I98" s="54" t="s">
        <v>83</v>
      </c>
      <c r="J98" s="54" t="s">
        <v>84</v>
      </c>
      <c r="K98" s="54" t="s">
        <v>85</v>
      </c>
      <c r="L98" s="54" t="s">
        <v>86</v>
      </c>
      <c r="M98" s="54" t="s">
        <v>87</v>
      </c>
      <c r="N98" s="54" t="s">
        <v>88</v>
      </c>
      <c r="O98" s="105"/>
      <c r="P98" s="105"/>
      <c r="Q98" s="50"/>
      <c r="R98" s="49"/>
      <c r="S98" s="41"/>
      <c r="T98" s="97"/>
      <c r="U98" s="97"/>
      <c r="V98" s="70"/>
      <c r="W98" s="2"/>
      <c r="Y98" s="85"/>
      <c r="AB98" s="85"/>
    </row>
    <row r="99" ht="39.75" customHeight="1" spans="1:23" x14ac:dyDescent="0.25">
      <c r="A99" s="38">
        <v>1</v>
      </c>
      <c r="B99" s="39" t="s">
        <v>173</v>
      </c>
      <c r="C99" s="40" t="str">
        <f>VLOOKUP($B99,[1]Sheet1!$F$5:$G$50270,2,0)</f>
        <v>LƯƠNG VĂN ĐOÀN</v>
      </c>
      <c r="D99" s="38" t="str">
        <f>VLOOKUP($B99,'[2]Số sổ BHXH T05'!$B$11:$K$11515,4,0)</f>
        <v>2421091338</v>
      </c>
      <c r="E99" s="41">
        <v>45964</v>
      </c>
      <c r="F99" s="41">
        <v>45968</v>
      </c>
      <c r="G99" s="42">
        <f>SUMPRODUCT(--(WEEKDAY(ROW(INDIRECT($E99:$E128&amp;":"&amp;$F99:$F121)),1)=1))</f>
        <v>0</v>
      </c>
      <c r="H99" s="42">
        <f>SUMPRODUCT(--(WEEKDAY(ROW(INDIRECT($E99:$E128&amp;":"&amp;$F99:$F121)),1)=2))</f>
        <v>1</v>
      </c>
      <c r="I99" s="42">
        <f>SUMPRODUCT(--(WEEKDAY(ROW(INDIRECT($E99:$E128&amp;":"&amp;$F99:$F121)),1)=3))</f>
        <v>1</v>
      </c>
      <c r="J99" s="42">
        <f>SUMPRODUCT(--(WEEKDAY(ROW(INDIRECT($E99:$E128&amp;":"&amp;$F99:$F121)),1)=4))</f>
        <v>1</v>
      </c>
      <c r="K99" s="42">
        <f>SUMPRODUCT(--(WEEKDAY(ROW(INDIRECT($E99:$E128&amp;":"&amp;$F99:$F121)),1)=5))</f>
        <v>1</v>
      </c>
      <c r="L99" s="42">
        <f>SUMPRODUCT(--(WEEKDAY(ROW(INDIRECT($E99:$E128&amp;":"&amp;$F99:$F121)),1)=6))</f>
        <v>1</v>
      </c>
      <c r="M99" s="42">
        <f>SUMPRODUCT(--(WEEKDAY(ROW(INDIRECT($E99:$E128&amp;":"&amp;$F99:$F121)),1)=7))</f>
        <v>0</v>
      </c>
      <c r="N99" s="42">
        <f t="shared" ref="N99:N100" si="25">SUM(H99:M99)</f>
        <v>5</v>
      </c>
      <c r="O99" s="38">
        <f t="shared" ref="O99:O100" si="26">F99-E99+1</f>
        <v>5</v>
      </c>
      <c r="P99" s="38"/>
      <c r="Q99" s="43" t="str">
        <f>VLOOKUP($B99,'[2]T01.2025'!C101:F7454,4,0)</f>
        <v>0281000281306</v>
      </c>
      <c r="R99" s="41"/>
      <c r="S99" s="43" t="s">
        <v>174</v>
      </c>
      <c r="T99" s="1" t="s">
        <v>175</v>
      </c>
      <c r="U99" s="6" t="s">
        <v>176</v>
      </c>
      <c r="V99" s="70"/>
      <c r="W99" s="2">
        <f t="shared" ref="W99:W100" si="27">N99-O99</f>
        <v>0</v>
      </c>
    </row>
    <row r="100" ht="39.75" customHeight="1" spans="1:23" x14ac:dyDescent="0.25">
      <c r="A100" s="38">
        <v>2</v>
      </c>
      <c r="B100" s="39" t="s">
        <v>177</v>
      </c>
      <c r="C100" s="40" t="str">
        <f>VLOOKUP($B100,[1]Sheet1!$F$5:$G$50270,2,0)</f>
        <v>VY VĂN TUẤN</v>
      </c>
      <c r="D100" s="38" t="str">
        <f>VLOOKUP($B100,'[2]Số sổ BHXH T05'!$B$11:$K$11515,4,0)</f>
        <v>3016009715</v>
      </c>
      <c r="E100" s="41">
        <v>45964</v>
      </c>
      <c r="F100" s="41">
        <v>45968</v>
      </c>
      <c r="G100" s="42">
        <f>SUMPRODUCT(--(WEEKDAY(ROW(INDIRECT($E100:$E129&amp;":"&amp;$F100:$F122)),1)=1))</f>
        <v>0</v>
      </c>
      <c r="H100" s="42">
        <f>SUMPRODUCT(--(WEEKDAY(ROW(INDIRECT($E100:$E129&amp;":"&amp;$F100:$F122)),1)=2))</f>
        <v>1</v>
      </c>
      <c r="I100" s="42">
        <f>SUMPRODUCT(--(WEEKDAY(ROW(INDIRECT($E100:$E129&amp;":"&amp;$F100:$F122)),1)=3))</f>
        <v>1</v>
      </c>
      <c r="J100" s="42">
        <f>SUMPRODUCT(--(WEEKDAY(ROW(INDIRECT($E100:$E129&amp;":"&amp;$F100:$F122)),1)=4))</f>
        <v>1</v>
      </c>
      <c r="K100" s="42">
        <f>SUMPRODUCT(--(WEEKDAY(ROW(INDIRECT($E100:$E129&amp;":"&amp;$F100:$F122)),1)=5))</f>
        <v>1</v>
      </c>
      <c r="L100" s="42">
        <f>SUMPRODUCT(--(WEEKDAY(ROW(INDIRECT($E100:$E129&amp;":"&amp;$F100:$F122)),1)=6))</f>
        <v>1</v>
      </c>
      <c r="M100" s="42">
        <f>SUMPRODUCT(--(WEEKDAY(ROW(INDIRECT($E100:$E129&amp;":"&amp;$F100:$F122)),1)=7))</f>
        <v>0</v>
      </c>
      <c r="N100" s="42">
        <f t="shared" si="25"/>
        <v>5</v>
      </c>
      <c r="O100" s="38">
        <f t="shared" si="26"/>
        <v>5</v>
      </c>
      <c r="P100" s="38"/>
      <c r="Q100" s="43" t="str">
        <f>VLOOKUP($B100,'[2]T01.2025'!C102:F7455,4,0)</f>
        <v>0341007031271</v>
      </c>
      <c r="R100" s="41"/>
      <c r="S100" s="43" t="s">
        <v>178</v>
      </c>
      <c r="T100" s="1" t="s">
        <v>175</v>
      </c>
      <c r="U100" s="6" t="s">
        <v>101</v>
      </c>
      <c r="V100" s="70"/>
      <c r="W100" s="2">
        <f t="shared" si="27"/>
        <v>0</v>
      </c>
    </row>
    <row r="101" ht="31.5" customHeight="1" spans="1:20" x14ac:dyDescent="0.25">
      <c r="A101" s="56" t="s">
        <v>78</v>
      </c>
      <c r="B101" s="57"/>
      <c r="C101" s="57"/>
      <c r="D101" s="57"/>
      <c r="E101" s="57"/>
      <c r="F101" s="48"/>
      <c r="G101" s="48"/>
      <c r="H101" s="48"/>
      <c r="I101" s="48"/>
      <c r="J101" s="48"/>
      <c r="K101" s="48"/>
      <c r="L101" s="48"/>
      <c r="M101" s="48"/>
      <c r="N101" s="48"/>
      <c r="O101" s="49">
        <f>SUM(O99:O100)</f>
        <v>10</v>
      </c>
      <c r="P101" s="49"/>
      <c r="Q101" s="43"/>
      <c r="R101" s="41"/>
      <c r="S101" s="44"/>
      <c r="T101" s="10"/>
    </row>
    <row r="102" ht="31.5" customHeight="1" spans="1:28" x14ac:dyDescent="0.25">
      <c r="A102" s="38" t="s">
        <v>97</v>
      </c>
      <c r="B102" s="100"/>
      <c r="C102" s="103" t="s">
        <v>179</v>
      </c>
      <c r="D102" s="104"/>
      <c r="E102" s="104"/>
      <c r="F102" s="104"/>
      <c r="G102" s="54" t="s">
        <v>81</v>
      </c>
      <c r="H102" s="54" t="s">
        <v>82</v>
      </c>
      <c r="I102" s="54" t="s">
        <v>83</v>
      </c>
      <c r="J102" s="54" t="s">
        <v>84</v>
      </c>
      <c r="K102" s="54" t="s">
        <v>85</v>
      </c>
      <c r="L102" s="54" t="s">
        <v>86</v>
      </c>
      <c r="M102" s="54" t="s">
        <v>87</v>
      </c>
      <c r="N102" s="54" t="s">
        <v>88</v>
      </c>
      <c r="O102" s="105"/>
      <c r="P102" s="105"/>
      <c r="Q102" s="50"/>
      <c r="R102" s="49"/>
      <c r="S102" s="41"/>
      <c r="T102" s="97"/>
      <c r="U102" s="97"/>
      <c r="V102" s="70"/>
      <c r="W102" s="2"/>
      <c r="Y102" s="85"/>
      <c r="AB102" s="85"/>
    </row>
    <row r="103" ht="39.75" customHeight="1" spans="1:23" x14ac:dyDescent="0.25">
      <c r="A103" s="38">
        <v>1</v>
      </c>
      <c r="B103" s="39" t="s">
        <v>180</v>
      </c>
      <c r="C103" s="40" t="str">
        <f>VLOOKUP($B103,[1]Sheet1!$F$5:$G$50270,2,0)</f>
        <v>NGUYỄN THẾ HUÂN</v>
      </c>
      <c r="D103" s="38" t="str">
        <f>VLOOKUP($B103,'[2]Số sổ BHXH T05'!$B$11:$K$11515,4,0)</f>
        <v>3022498268</v>
      </c>
      <c r="E103" s="41">
        <v>45953</v>
      </c>
      <c r="F103" s="41">
        <v>45954</v>
      </c>
      <c r="G103" s="42">
        <f>SUMPRODUCT(--(WEEKDAY(ROW(INDIRECT($E99:$E127&amp;":"&amp;$F99:$F120)),1)=1))</f>
        <v>0</v>
      </c>
      <c r="H103" s="42">
        <f>SUMPRODUCT(--(WEEKDAY(ROW(INDIRECT($E99:$E127&amp;":"&amp;$F99:$F120)),1)=2))</f>
        <v>0</v>
      </c>
      <c r="I103" s="42">
        <f>SUMPRODUCT(--(WEEKDAY(ROW(INDIRECT($E99:$E127&amp;":"&amp;$F99:$F120)),1)=3))</f>
        <v>0</v>
      </c>
      <c r="J103" s="42">
        <f>SUMPRODUCT(--(WEEKDAY(ROW(INDIRECT($E99:$E127&amp;":"&amp;$F99:$F120)),1)=4))</f>
        <v>0</v>
      </c>
      <c r="K103" s="42">
        <f>SUMPRODUCT(--(WEEKDAY(ROW(INDIRECT($E99:$E127&amp;":"&amp;$F99:$F120)),1)=5))</f>
        <v>1</v>
      </c>
      <c r="L103" s="42">
        <f>SUMPRODUCT(--(WEEKDAY(ROW(INDIRECT($E99:$E127&amp;":"&amp;$F99:$F120)),1)=6))</f>
        <v>1</v>
      </c>
      <c r="M103" s="42">
        <f>SUMPRODUCT(--(WEEKDAY(ROW(INDIRECT($E99:$E127&amp;":"&amp;$F99:$F120)),1)=7))</f>
        <v>0</v>
      </c>
      <c r="N103" s="42">
        <f>SUM(H103:M103)</f>
        <v>2</v>
      </c>
      <c r="O103" s="38">
        <f>F103-E103+1</f>
        <v>2</v>
      </c>
      <c r="P103" s="38"/>
      <c r="Q103" s="43" t="str">
        <f>VLOOKUP($B103,'[2]T01.2025'!C109:F7462,4,0)</f>
        <v>0351001153135</v>
      </c>
      <c r="R103" s="41"/>
      <c r="S103" s="43" t="s">
        <v>181</v>
      </c>
      <c r="T103" s="1" t="s">
        <v>175</v>
      </c>
      <c r="U103" s="6" t="s">
        <v>161</v>
      </c>
      <c r="V103" s="70"/>
      <c r="W103" s="2">
        <f t="shared" ref="W103:W105" si="28">N103-O103</f>
        <v>0</v>
      </c>
    </row>
    <row r="104" ht="39.75" customHeight="1" spans="1:23" x14ac:dyDescent="0.25">
      <c r="A104" s="38">
        <v>2</v>
      </c>
      <c r="B104" s="39" t="s">
        <v>180</v>
      </c>
      <c r="C104" s="40" t="str">
        <f>VLOOKUP($B104,[1]Sheet1!$F$5:$G$50270,2,0)</f>
        <v>NGUYỄN THẾ HUÂN</v>
      </c>
      <c r="D104" s="38" t="str">
        <f>VLOOKUP($B104,'[2]Số sổ BHXH T05'!$B$11:$K$11515,4,0)</f>
        <v>3022498268</v>
      </c>
      <c r="E104" s="41">
        <v>45957</v>
      </c>
      <c r="F104" s="41">
        <v>45961</v>
      </c>
      <c r="G104" s="42">
        <f>SUMPRODUCT(--(WEEKDAY(ROW(INDIRECT($E100:$E128&amp;":"&amp;$F100:$F121)),1)=1))</f>
        <v>0</v>
      </c>
      <c r="H104" s="42">
        <f>SUMPRODUCT(--(WEEKDAY(ROW(INDIRECT($E100:$E128&amp;":"&amp;$F100:$F121)),1)=2))</f>
        <v>1</v>
      </c>
      <c r="I104" s="42">
        <f>SUMPRODUCT(--(WEEKDAY(ROW(INDIRECT($E100:$E128&amp;":"&amp;$F100:$F121)),1)=3))</f>
        <v>1</v>
      </c>
      <c r="J104" s="42">
        <f>SUMPRODUCT(--(WEEKDAY(ROW(INDIRECT($E100:$E128&amp;":"&amp;$F100:$F121)),1)=4))</f>
        <v>1</v>
      </c>
      <c r="K104" s="42">
        <f>SUMPRODUCT(--(WEEKDAY(ROW(INDIRECT($E100:$E128&amp;":"&amp;$F100:$F121)),1)=5))</f>
        <v>1</v>
      </c>
      <c r="L104" s="42">
        <f>SUMPRODUCT(--(WEEKDAY(ROW(INDIRECT($E100:$E128&amp;":"&amp;$F100:$F121)),1)=6))</f>
        <v>1</v>
      </c>
      <c r="M104" s="42">
        <f>SUMPRODUCT(--(WEEKDAY(ROW(INDIRECT($E100:$E128&amp;":"&amp;$F100:$F121)),1)=7))</f>
        <v>0</v>
      </c>
      <c r="N104" s="42">
        <f>SUM(H104:M104)</f>
        <v>5</v>
      </c>
      <c r="O104" s="38">
        <f>F104-E104+1</f>
        <v>5</v>
      </c>
      <c r="P104" s="38"/>
      <c r="Q104" s="43" t="str">
        <f>VLOOKUP($B104,'[2]T01.2025'!C110:F7463,4,0)</f>
        <v>0351001153135</v>
      </c>
      <c r="R104" s="41"/>
      <c r="S104" s="43" t="s">
        <v>181</v>
      </c>
      <c r="T104" s="1"/>
      <c r="U104" s="6"/>
      <c r="V104" s="70"/>
      <c r="W104" s="2">
        <f t="shared" si="28"/>
        <v>0</v>
      </c>
    </row>
    <row r="105" ht="39.75" customHeight="1" spans="1:23" x14ac:dyDescent="0.25">
      <c r="A105" s="38">
        <v>3</v>
      </c>
      <c r="B105" s="39" t="s">
        <v>182</v>
      </c>
      <c r="C105" s="40" t="str">
        <f>VLOOKUP($B105,[1]Sheet1!$F$5:$G$58270,2,0)</f>
        <v>TRẦN VĂN THÁI</v>
      </c>
      <c r="D105" s="38" t="str">
        <f>VLOOKUP($B105,'[2]Số sổ BHXH T05'!$B$11:$K$11515,4,0)</f>
        <v>2412000245</v>
      </c>
      <c r="E105" s="41">
        <v>45957</v>
      </c>
      <c r="F105" s="41">
        <v>45964</v>
      </c>
      <c r="G105" s="42">
        <f>SUMPRODUCT(--(WEEKDAY(ROW(INDIRECT($E105:$E130&amp;":"&amp;$F105:$F123)),1)=1))</f>
        <v>1</v>
      </c>
      <c r="H105" s="42">
        <f>SUMPRODUCT(--(WEEKDAY(ROW(INDIRECT($E105:$E130&amp;":"&amp;$F105:$F123)),1)=2))</f>
        <v>2</v>
      </c>
      <c r="I105" s="42">
        <f>SUMPRODUCT(--(WEEKDAY(ROW(INDIRECT($E105:$E130&amp;":"&amp;$F105:$F123)),1)=3))</f>
        <v>1</v>
      </c>
      <c r="J105" s="42">
        <f>SUMPRODUCT(--(WEEKDAY(ROW(INDIRECT($E105:$E130&amp;":"&amp;$F105:$F123)),1)=4))</f>
        <v>1</v>
      </c>
      <c r="K105" s="42">
        <f>SUMPRODUCT(--(WEEKDAY(ROW(INDIRECT($E105:$E130&amp;":"&amp;$F105:$F123)),1)=5))</f>
        <v>1</v>
      </c>
      <c r="L105" s="42">
        <f>SUMPRODUCT(--(WEEKDAY(ROW(INDIRECT($E105:$E130&amp;":"&amp;$F105:$F123)),1)=6))</f>
        <v>1</v>
      </c>
      <c r="M105" s="42">
        <f>SUMPRODUCT(--(WEEKDAY(ROW(INDIRECT($E105:$E130&amp;":"&amp;$F105:$F123)),1)=7))</f>
        <v>1</v>
      </c>
      <c r="N105" s="42">
        <f>SUM(H105:M105)</f>
        <v>7</v>
      </c>
      <c r="O105" s="38">
        <v>7</v>
      </c>
      <c r="P105" s="38"/>
      <c r="Q105" s="43" t="str">
        <f>VLOOKUP($B105,'[2]T01.2025'!C110:F7463,4,0)</f>
        <v>0731000931870</v>
      </c>
      <c r="R105" s="41"/>
      <c r="S105" s="43" t="s">
        <v>183</v>
      </c>
      <c r="T105" s="1" t="s">
        <v>175</v>
      </c>
      <c r="U105" s="6" t="s">
        <v>161</v>
      </c>
      <c r="V105" s="70"/>
      <c r="W105" s="2">
        <f t="shared" si="28"/>
        <v>0</v>
      </c>
    </row>
    <row r="106" ht="31.5" customHeight="1" spans="1:25" x14ac:dyDescent="0.25">
      <c r="A106" s="56" t="s">
        <v>78</v>
      </c>
      <c r="B106" s="57"/>
      <c r="C106" s="57"/>
      <c r="D106" s="57"/>
      <c r="E106" s="57"/>
      <c r="F106" s="48"/>
      <c r="G106" s="48"/>
      <c r="H106" s="48"/>
      <c r="I106" s="48"/>
      <c r="J106" s="48"/>
      <c r="K106" s="48"/>
      <c r="L106" s="48"/>
      <c r="M106" s="48"/>
      <c r="N106" s="48"/>
      <c r="O106" s="49">
        <f>SUM(O103:O105)</f>
        <v>14</v>
      </c>
      <c r="P106" s="49"/>
      <c r="Q106" s="43"/>
      <c r="R106" s="41"/>
      <c r="S106" s="44"/>
      <c r="T106" s="10"/>
      <c r="U106" s="97"/>
      <c r="V106" s="70"/>
      <c r="Y106" s="85"/>
    </row>
    <row r="107" ht="27" customHeight="1" spans="1:21" x14ac:dyDescent="0.25">
      <c r="A107" s="49" t="s">
        <v>184</v>
      </c>
      <c r="B107" s="58"/>
      <c r="C107" s="101" t="s">
        <v>185</v>
      </c>
      <c r="D107" s="68"/>
      <c r="E107" s="68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106"/>
      <c r="R107" s="107"/>
      <c r="S107" s="108"/>
      <c r="T107" s="2"/>
      <c r="U107" s="6"/>
    </row>
    <row r="108" ht="27" customHeight="1" spans="1:21" x14ac:dyDescent="0.25">
      <c r="A108" s="49" t="s">
        <v>135</v>
      </c>
      <c r="B108" s="58"/>
      <c r="C108" s="67" t="s">
        <v>186</v>
      </c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106"/>
      <c r="R108" s="107"/>
      <c r="S108" s="108"/>
      <c r="T108" s="2"/>
      <c r="U108" s="6"/>
    </row>
    <row r="109" ht="30.75" customHeight="1" spans="1:22" x14ac:dyDescent="0.25">
      <c r="A109" s="49" t="s">
        <v>97</v>
      </c>
      <c r="B109" s="58"/>
      <c r="C109" s="109" t="s">
        <v>187</v>
      </c>
      <c r="D109" s="110"/>
      <c r="E109" s="110"/>
      <c r="F109" s="111"/>
      <c r="G109" s="54" t="s">
        <v>81</v>
      </c>
      <c r="H109" s="54" t="s">
        <v>82</v>
      </c>
      <c r="I109" s="54" t="s">
        <v>83</v>
      </c>
      <c r="J109" s="54" t="s">
        <v>84</v>
      </c>
      <c r="K109" s="54" t="s">
        <v>85</v>
      </c>
      <c r="L109" s="54" t="s">
        <v>86</v>
      </c>
      <c r="M109" s="54" t="s">
        <v>87</v>
      </c>
      <c r="N109" s="54" t="s">
        <v>88</v>
      </c>
      <c r="O109" s="112"/>
      <c r="P109" s="112"/>
      <c r="Q109" s="113"/>
      <c r="R109" s="114"/>
      <c r="S109" s="113"/>
      <c r="U109" s="6"/>
      <c r="V109" s="70"/>
    </row>
    <row r="110" ht="31.5" customHeight="1" spans="1:23" x14ac:dyDescent="0.25">
      <c r="A110" s="38">
        <v>1</v>
      </c>
      <c r="B110" s="39" t="s">
        <v>188</v>
      </c>
      <c r="C110" s="40" t="str">
        <f>VLOOKUP($B110,[1]Sheet1!$F$5:$G$50270,2,0)</f>
        <v>VI THỊ KHÁNH</v>
      </c>
      <c r="D110" s="38" t="str">
        <f>VLOOKUP($B110,'[2]Số sổ BHXH T05'!$B$11:$K$11515,4,0)</f>
        <v>2420312900</v>
      </c>
      <c r="E110" s="41">
        <v>45975</v>
      </c>
      <c r="F110" s="41">
        <v>45979</v>
      </c>
      <c r="G110" s="42">
        <f>SUMPRODUCT(--(WEEKDAY(ROW(INDIRECT($E110:$E148&amp;":"&amp;$F110:$F141)),1)=1))</f>
        <v>1</v>
      </c>
      <c r="H110" s="42">
        <f>SUMPRODUCT(--(WEEKDAY(ROW(INDIRECT($E110:$E148&amp;":"&amp;$F110:$F141)),1)=2))</f>
        <v>1</v>
      </c>
      <c r="I110" s="42">
        <f>SUMPRODUCT(--(WEEKDAY(ROW(INDIRECT($E110:$E148&amp;":"&amp;$F110:$F141)),1)=3))</f>
        <v>1</v>
      </c>
      <c r="J110" s="42">
        <f>SUMPRODUCT(--(WEEKDAY(ROW(INDIRECT($E110:$E148&amp;":"&amp;$F110:$F141)),1)=4))</f>
        <v>0</v>
      </c>
      <c r="K110" s="42">
        <f>SUMPRODUCT(--(WEEKDAY(ROW(INDIRECT($E110:$E148&amp;":"&amp;$F110:$F141)),1)=5))</f>
        <v>0</v>
      </c>
      <c r="L110" s="42">
        <f>SUMPRODUCT(--(WEEKDAY(ROW(INDIRECT($E110:$E148&amp;":"&amp;$F110:$F141)),1)=6))</f>
        <v>1</v>
      </c>
      <c r="M110" s="42">
        <f>SUMPRODUCT(--(WEEKDAY(ROW(INDIRECT($E110:$E148&amp;":"&amp;$F110:$F141)),1)=7))</f>
        <v>1</v>
      </c>
      <c r="N110" s="42">
        <f t="shared" ref="N110:N114" si="29">SUM(H110:M110)</f>
        <v>4</v>
      </c>
      <c r="O110" s="38">
        <f t="shared" ref="O110:O114" si="30">F110-E110+1</f>
        <v>5</v>
      </c>
      <c r="P110" s="38"/>
      <c r="Q110" s="43" t="str">
        <f>VLOOKUP($B110,'[2]T01.2025'!C122:F7475,4,0)</f>
        <v>1015977208</v>
      </c>
      <c r="R110" s="41"/>
      <c r="S110" s="64" t="s">
        <v>189</v>
      </c>
      <c r="T110" s="1" t="s">
        <v>190</v>
      </c>
      <c r="U110" s="6" t="s">
        <v>191</v>
      </c>
      <c r="V110" s="70"/>
      <c r="W110" s="2">
        <f t="shared" ref="W110:W114" si="31">N110-O110</f>
        <v>-1</v>
      </c>
    </row>
    <row r="111" ht="31.5" customHeight="1" spans="1:23" x14ac:dyDescent="0.25">
      <c r="A111" s="38">
        <v>2</v>
      </c>
      <c r="B111" s="39" t="s">
        <v>192</v>
      </c>
      <c r="C111" s="40" t="str">
        <f>VLOOKUP($B111,[1]Sheet1!$F$5:$G$50270,2,0)</f>
        <v>NGUYỄN THỊ MAI</v>
      </c>
      <c r="D111" s="38" t="str">
        <f>VLOOKUP($B111,'[2]Số sổ BHXH T05'!$B$11:$K$11515,4,0)</f>
        <v>3420269159</v>
      </c>
      <c r="E111" s="41">
        <v>45978</v>
      </c>
      <c r="F111" s="41">
        <v>45982</v>
      </c>
      <c r="G111" s="42">
        <f>SUMPRODUCT(--(WEEKDAY(ROW(INDIRECT($E111:$E149&amp;":"&amp;$F111:$F142)),1)=1))</f>
        <v>0</v>
      </c>
      <c r="H111" s="42">
        <f>SUMPRODUCT(--(WEEKDAY(ROW(INDIRECT($E111:$E149&amp;":"&amp;$F111:$F142)),1)=2))</f>
        <v>1</v>
      </c>
      <c r="I111" s="42">
        <f>SUMPRODUCT(--(WEEKDAY(ROW(INDIRECT($E111:$E149&amp;":"&amp;$F111:$F142)),1)=3))</f>
        <v>1</v>
      </c>
      <c r="J111" s="42">
        <f>SUMPRODUCT(--(WEEKDAY(ROW(INDIRECT($E111:$E149&amp;":"&amp;$F111:$F142)),1)=4))</f>
        <v>1</v>
      </c>
      <c r="K111" s="42">
        <f>SUMPRODUCT(--(WEEKDAY(ROW(INDIRECT($E111:$E149&amp;":"&amp;$F111:$F142)),1)=5))</f>
        <v>1</v>
      </c>
      <c r="L111" s="42">
        <f>SUMPRODUCT(--(WEEKDAY(ROW(INDIRECT($E111:$E149&amp;":"&amp;$F111:$F142)),1)=6))</f>
        <v>1</v>
      </c>
      <c r="M111" s="42">
        <f>SUMPRODUCT(--(WEEKDAY(ROW(INDIRECT($E111:$E149&amp;":"&amp;$F111:$F142)),1)=7))</f>
        <v>0</v>
      </c>
      <c r="N111" s="42">
        <f t="shared" si="29"/>
        <v>5</v>
      </c>
      <c r="O111" s="38">
        <f t="shared" si="30"/>
        <v>5</v>
      </c>
      <c r="P111" s="38"/>
      <c r="Q111" s="43" t="str">
        <f>VLOOKUP($B111,'[2]T01.2025'!C123:F7476,4,0)</f>
        <v>1048208184</v>
      </c>
      <c r="R111" s="41"/>
      <c r="S111" s="64" t="s">
        <v>193</v>
      </c>
      <c r="T111" s="1" t="s">
        <v>190</v>
      </c>
      <c r="U111" s="6" t="s">
        <v>191</v>
      </c>
      <c r="V111" s="70"/>
      <c r="W111" s="2">
        <f t="shared" si="31"/>
        <v>0</v>
      </c>
    </row>
    <row r="112" ht="31.5" customHeight="1" spans="1:23" x14ac:dyDescent="0.25">
      <c r="A112" s="38">
        <v>3</v>
      </c>
      <c r="B112" s="39" t="s">
        <v>194</v>
      </c>
      <c r="C112" s="40" t="str">
        <f>VLOOKUP($B112,[1]Sheet1!$F$5:$G$50270,2,0)</f>
        <v>HỨA THỊ NGA</v>
      </c>
      <c r="D112" s="38" t="str">
        <f>VLOOKUP($B112,'[2]Số sổ BHXH T05'!$B$11:$K$11515,4,0)</f>
        <v>0420190627</v>
      </c>
      <c r="E112" s="41">
        <v>45978</v>
      </c>
      <c r="F112" s="41">
        <v>45982</v>
      </c>
      <c r="G112" s="42">
        <f>SUMPRODUCT(--(WEEKDAY(ROW(INDIRECT($E112:$E150&amp;":"&amp;$F112:$F143)),1)=1))</f>
        <v>0</v>
      </c>
      <c r="H112" s="42">
        <f>SUMPRODUCT(--(WEEKDAY(ROW(INDIRECT($E112:$E150&amp;":"&amp;$F112:$F143)),1)=2))</f>
        <v>1</v>
      </c>
      <c r="I112" s="42">
        <f>SUMPRODUCT(--(WEEKDAY(ROW(INDIRECT($E112:$E150&amp;":"&amp;$F112:$F143)),1)=3))</f>
        <v>1</v>
      </c>
      <c r="J112" s="42">
        <f>SUMPRODUCT(--(WEEKDAY(ROW(INDIRECT($E112:$E150&amp;":"&amp;$F112:$F143)),1)=4))</f>
        <v>1</v>
      </c>
      <c r="K112" s="42">
        <f>SUMPRODUCT(--(WEEKDAY(ROW(INDIRECT($E112:$E150&amp;":"&amp;$F112:$F143)),1)=5))</f>
        <v>1</v>
      </c>
      <c r="L112" s="42">
        <f>SUMPRODUCT(--(WEEKDAY(ROW(INDIRECT($E112:$E150&amp;":"&amp;$F112:$F143)),1)=6))</f>
        <v>1</v>
      </c>
      <c r="M112" s="42">
        <f>SUMPRODUCT(--(WEEKDAY(ROW(INDIRECT($E112:$E150&amp;":"&amp;$F112:$F143)),1)=7))</f>
        <v>0</v>
      </c>
      <c r="N112" s="42">
        <f t="shared" si="29"/>
        <v>5</v>
      </c>
      <c r="O112" s="38">
        <f t="shared" si="30"/>
        <v>5</v>
      </c>
      <c r="P112" s="38"/>
      <c r="Q112" s="43" t="str">
        <f>VLOOKUP($B112,'[2]T01.2025'!C124:F7477,4,0)</f>
        <v>0351001157510</v>
      </c>
      <c r="R112" s="41"/>
      <c r="S112" s="64" t="s">
        <v>195</v>
      </c>
      <c r="T112" s="1" t="s">
        <v>190</v>
      </c>
      <c r="U112" s="6" t="s">
        <v>191</v>
      </c>
      <c r="V112" s="70"/>
      <c r="W112" s="2">
        <f t="shared" si="31"/>
        <v>0</v>
      </c>
    </row>
    <row r="113" ht="31.5" customHeight="1" spans="1:23" x14ac:dyDescent="0.25">
      <c r="A113" s="38">
        <v>4</v>
      </c>
      <c r="B113" s="39" t="s">
        <v>196</v>
      </c>
      <c r="C113" s="40" t="str">
        <f>VLOOKUP($B113,[1]Sheet1!$F$5:$G$50270,2,0)</f>
        <v>TẠ THỊ LAN</v>
      </c>
      <c r="D113" s="38" t="str">
        <f>VLOOKUP($B113,'[2]Số sổ BHXH T05'!$B$11:$K$11515,4,0)</f>
        <v>2421278447</v>
      </c>
      <c r="E113" s="41">
        <v>45979</v>
      </c>
      <c r="F113" s="41">
        <v>45983</v>
      </c>
      <c r="G113" s="42">
        <f>SUMPRODUCT(--(WEEKDAY(ROW(INDIRECT($E113:$E151&amp;":"&amp;$F113:$F144)),1)=1))</f>
        <v>0</v>
      </c>
      <c r="H113" s="42">
        <f>SUMPRODUCT(--(WEEKDAY(ROW(INDIRECT($E113:$E151&amp;":"&amp;$F113:$F144)),1)=2))</f>
        <v>0</v>
      </c>
      <c r="I113" s="42">
        <f>SUMPRODUCT(--(WEEKDAY(ROW(INDIRECT($E113:$E151&amp;":"&amp;$F113:$F144)),1)=3))</f>
        <v>1</v>
      </c>
      <c r="J113" s="42">
        <f>SUMPRODUCT(--(WEEKDAY(ROW(INDIRECT($E113:$E151&amp;":"&amp;$F113:$F144)),1)=4))</f>
        <v>1</v>
      </c>
      <c r="K113" s="42">
        <f>SUMPRODUCT(--(WEEKDAY(ROW(INDIRECT($E113:$E151&amp;":"&amp;$F113:$F144)),1)=5))</f>
        <v>1</v>
      </c>
      <c r="L113" s="42">
        <f>SUMPRODUCT(--(WEEKDAY(ROW(INDIRECT($E113:$E151&amp;":"&amp;$F113:$F144)),1)=6))</f>
        <v>1</v>
      </c>
      <c r="M113" s="42">
        <f>SUMPRODUCT(--(WEEKDAY(ROW(INDIRECT($E113:$E151&amp;":"&amp;$F113:$F144)),1)=7))</f>
        <v>1</v>
      </c>
      <c r="N113" s="42">
        <f t="shared" si="29"/>
        <v>5</v>
      </c>
      <c r="O113" s="38">
        <f t="shared" si="30"/>
        <v>5</v>
      </c>
      <c r="P113" s="38"/>
      <c r="Q113" s="43" t="str">
        <f>VLOOKUP($B113,'[2]T01.2025'!C125:F7478,4,0)</f>
        <v>1016137479</v>
      </c>
      <c r="R113" s="41"/>
      <c r="S113" s="64" t="s">
        <v>197</v>
      </c>
      <c r="T113" s="1" t="s">
        <v>190</v>
      </c>
      <c r="U113" s="6" t="s">
        <v>191</v>
      </c>
      <c r="V113" s="70"/>
      <c r="W113" s="2">
        <f t="shared" si="31"/>
        <v>0</v>
      </c>
    </row>
    <row r="114" ht="31.5" customHeight="1" spans="1:23" x14ac:dyDescent="0.25">
      <c r="A114" s="38">
        <v>5</v>
      </c>
      <c r="B114" s="39" t="s">
        <v>198</v>
      </c>
      <c r="C114" s="40" t="str">
        <f>VLOOKUP($B114,[1]Sheet1!$F$5:$G$50270,2,0)</f>
        <v>NGUYỄN THỊ THẮM</v>
      </c>
      <c r="D114" s="38" t="str">
        <f>VLOOKUP($B114,'[2]Số sổ BHXH T05'!$B$11:$K$11515,4,0)</f>
        <v>2413006384</v>
      </c>
      <c r="E114" s="41">
        <v>45979</v>
      </c>
      <c r="F114" s="41">
        <v>45983</v>
      </c>
      <c r="G114" s="42">
        <f>SUMPRODUCT(--(WEEKDAY(ROW(INDIRECT($E114:$E152&amp;":"&amp;$F114:$F145)),1)=1))</f>
        <v>0</v>
      </c>
      <c r="H114" s="42">
        <f>SUMPRODUCT(--(WEEKDAY(ROW(INDIRECT($E114:$E152&amp;":"&amp;$F114:$F145)),1)=2))</f>
        <v>0</v>
      </c>
      <c r="I114" s="42">
        <f>SUMPRODUCT(--(WEEKDAY(ROW(INDIRECT($E114:$E152&amp;":"&amp;$F114:$F145)),1)=3))</f>
        <v>1</v>
      </c>
      <c r="J114" s="42">
        <f>SUMPRODUCT(--(WEEKDAY(ROW(INDIRECT($E114:$E152&amp;":"&amp;$F114:$F145)),1)=4))</f>
        <v>1</v>
      </c>
      <c r="K114" s="42">
        <f>SUMPRODUCT(--(WEEKDAY(ROW(INDIRECT($E114:$E152&amp;":"&amp;$F114:$F145)),1)=5))</f>
        <v>1</v>
      </c>
      <c r="L114" s="42">
        <f>SUMPRODUCT(--(WEEKDAY(ROW(INDIRECT($E114:$E152&amp;":"&amp;$F114:$F145)),1)=6))</f>
        <v>1</v>
      </c>
      <c r="M114" s="42">
        <f>SUMPRODUCT(--(WEEKDAY(ROW(INDIRECT($E114:$E152&amp;":"&amp;$F114:$F145)),1)=7))</f>
        <v>1</v>
      </c>
      <c r="N114" s="42">
        <f t="shared" si="29"/>
        <v>5</v>
      </c>
      <c r="O114" s="38">
        <f t="shared" si="30"/>
        <v>5</v>
      </c>
      <c r="P114" s="38"/>
      <c r="Q114" s="43" t="str">
        <f>VLOOKUP($B114,'[2]T01.2025'!C126:F7479,4,0)</f>
        <v>0351000975278</v>
      </c>
      <c r="R114" s="41"/>
      <c r="S114" s="64" t="s">
        <v>199</v>
      </c>
      <c r="T114" s="1" t="s">
        <v>190</v>
      </c>
      <c r="U114" s="6" t="s">
        <v>191</v>
      </c>
      <c r="V114" s="70"/>
      <c r="W114" s="2">
        <f t="shared" si="31"/>
        <v>0</v>
      </c>
    </row>
    <row r="115" ht="31.5" customHeight="1" spans="1:23" x14ac:dyDescent="0.25">
      <c r="A115" s="56" t="s">
        <v>78</v>
      </c>
      <c r="B115" s="57"/>
      <c r="C115" s="57"/>
      <c r="D115" s="57"/>
      <c r="E115" s="57"/>
      <c r="F115" s="48"/>
      <c r="G115" s="54"/>
      <c r="H115" s="54"/>
      <c r="I115" s="54"/>
      <c r="J115" s="54"/>
      <c r="K115" s="54"/>
      <c r="L115" s="54"/>
      <c r="M115" s="54"/>
      <c r="N115" s="54"/>
      <c r="O115" s="49">
        <f>SUM(O110:O114)</f>
        <v>25</v>
      </c>
      <c r="P115" s="49"/>
      <c r="Q115" s="43"/>
      <c r="R115" s="41"/>
      <c r="S115" s="115"/>
      <c r="T115" s="1" t="s">
        <v>190</v>
      </c>
      <c r="U115" s="6" t="s">
        <v>191</v>
      </c>
      <c r="V115" s="70"/>
      <c r="W115" s="85"/>
    </row>
    <row r="116" ht="30.75" customHeight="1" spans="1:21" x14ac:dyDescent="0.25">
      <c r="A116" s="49" t="s">
        <v>97</v>
      </c>
      <c r="B116" s="58"/>
      <c r="C116" s="109" t="s">
        <v>200</v>
      </c>
      <c r="D116" s="110"/>
      <c r="E116" s="110"/>
      <c r="F116" s="111"/>
      <c r="G116" s="54" t="s">
        <v>81</v>
      </c>
      <c r="H116" s="54" t="s">
        <v>82</v>
      </c>
      <c r="I116" s="54" t="s">
        <v>83</v>
      </c>
      <c r="J116" s="54" t="s">
        <v>84</v>
      </c>
      <c r="K116" s="54" t="s">
        <v>85</v>
      </c>
      <c r="L116" s="54" t="s">
        <v>86</v>
      </c>
      <c r="M116" s="54" t="s">
        <v>87</v>
      </c>
      <c r="N116" s="54" t="s">
        <v>88</v>
      </c>
      <c r="O116" s="1"/>
      <c r="P116" s="1"/>
      <c r="Q116" s="1"/>
      <c r="R116" s="1"/>
      <c r="S116" s="1"/>
      <c r="T116" s="1"/>
      <c r="U116" s="1"/>
    </row>
    <row r="117" ht="31.5" customHeight="1" spans="1:23" x14ac:dyDescent="0.25">
      <c r="A117" s="38">
        <v>1</v>
      </c>
      <c r="B117" s="39" t="s">
        <v>201</v>
      </c>
      <c r="C117" s="40" t="str">
        <f>VLOOKUP($B117,[1]Sheet1!$F$5:$G$50270,2,0)</f>
        <v>NGUYỄN THỊ THẢO</v>
      </c>
      <c r="D117" s="38" t="str">
        <f>VLOOKUP($B117,'[2]Số sổ BHXH T05'!$B$11:$K$11515,4,0)</f>
        <v>2421737623</v>
      </c>
      <c r="E117" s="41">
        <v>45973</v>
      </c>
      <c r="F117" s="41">
        <v>45979</v>
      </c>
      <c r="G117" s="42">
        <f>SUMPRODUCT(--(WEEKDAY(ROW(INDIRECT($E117:$E156&amp;":"&amp;$F117:$F149)),1)=1))</f>
        <v>1</v>
      </c>
      <c r="H117" s="42">
        <f>SUMPRODUCT(--(WEEKDAY(ROW(INDIRECT($E117:$E156&amp;":"&amp;$F117:$F149)),1)=2))</f>
        <v>1</v>
      </c>
      <c r="I117" s="42">
        <f>SUMPRODUCT(--(WEEKDAY(ROW(INDIRECT($E117:$E156&amp;":"&amp;$F117:$F149)),1)=3))</f>
        <v>1</v>
      </c>
      <c r="J117" s="42">
        <f>SUMPRODUCT(--(WEEKDAY(ROW(INDIRECT($E117:$E156&amp;":"&amp;$F117:$F149)),1)=4))</f>
        <v>1</v>
      </c>
      <c r="K117" s="42">
        <f>SUMPRODUCT(--(WEEKDAY(ROW(INDIRECT($E117:$E156&amp;":"&amp;$F117:$F149)),1)=5))</f>
        <v>1</v>
      </c>
      <c r="L117" s="42">
        <f>SUMPRODUCT(--(WEEKDAY(ROW(INDIRECT($E117:$E156&amp;":"&amp;$F117:$F149)),1)=6))</f>
        <v>1</v>
      </c>
      <c r="M117" s="42">
        <f>SUMPRODUCT(--(WEEKDAY(ROW(INDIRECT($E117:$E156&amp;":"&amp;$F117:$F149)),1)=7))</f>
        <v>1</v>
      </c>
      <c r="N117" s="42">
        <f>SUM(H117:M117)</f>
        <v>6</v>
      </c>
      <c r="O117" s="38">
        <f>F117-E117+1</f>
        <v>7</v>
      </c>
      <c r="P117" s="38"/>
      <c r="Q117" s="43" t="str">
        <f>VLOOKUP($B117,'[2]T01.2025'!C130:F7483,4,0)</f>
        <v>0351001177058</v>
      </c>
      <c r="R117" s="41"/>
      <c r="S117" s="64" t="s">
        <v>202</v>
      </c>
      <c r="T117" s="1" t="s">
        <v>190</v>
      </c>
      <c r="U117" s="6" t="s">
        <v>191</v>
      </c>
      <c r="V117" s="70"/>
      <c r="W117" s="2">
        <f t="shared" ref="W117" si="32">N117-O117</f>
        <v>-1</v>
      </c>
    </row>
    <row r="118" ht="31.5" customHeight="1" spans="1:23" x14ac:dyDescent="0.25">
      <c r="A118" s="56" t="s">
        <v>78</v>
      </c>
      <c r="B118" s="57"/>
      <c r="C118" s="57"/>
      <c r="D118" s="57"/>
      <c r="E118" s="57"/>
      <c r="F118" s="48"/>
      <c r="G118" s="54"/>
      <c r="H118" s="54"/>
      <c r="I118" s="54"/>
      <c r="J118" s="54"/>
      <c r="K118" s="54"/>
      <c r="L118" s="54"/>
      <c r="M118" s="54"/>
      <c r="N118" s="54"/>
      <c r="O118" s="38">
        <f>SUM(O117:O117)</f>
        <v>7</v>
      </c>
      <c r="P118" s="38"/>
      <c r="Q118" s="43"/>
      <c r="R118" s="41"/>
      <c r="S118" s="115"/>
      <c r="T118" s="1" t="s">
        <v>190</v>
      </c>
      <c r="U118" s="6" t="s">
        <v>191</v>
      </c>
      <c r="V118" s="70"/>
      <c r="W118" s="85"/>
    </row>
    <row r="119" ht="15.75" customHeight="1" spans="1:21" x14ac:dyDescent="0.25">
      <c r="A119" s="7"/>
      <c r="B119" s="116" t="s">
        <v>203</v>
      </c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7"/>
      <c r="T119" s="118"/>
      <c r="U119" s="118"/>
    </row>
    <row r="120" spans="1:21" x14ac:dyDescent="0.25">
      <c r="A120" s="7"/>
      <c r="B120" s="8"/>
      <c r="C120" s="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117"/>
      <c r="T120" s="118"/>
      <c r="U120" s="118"/>
    </row>
    <row r="121" ht="16" customHeight="1" spans="1:21" x14ac:dyDescent="0.25">
      <c r="A121" s="14"/>
      <c r="C121" s="1"/>
      <c r="D121" s="14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20" t="s">
        <v>204</v>
      </c>
      <c r="P121" s="120"/>
      <c r="Q121" s="120"/>
      <c r="R121" s="120"/>
      <c r="S121" s="120"/>
      <c r="T121" s="121"/>
      <c r="U121" s="122"/>
    </row>
    <row r="122" ht="16" customHeight="1" spans="1:21" x14ac:dyDescent="0.25">
      <c r="A122" s="14"/>
      <c r="C122" s="1"/>
      <c r="D122" s="14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4" t="s">
        <v>205</v>
      </c>
      <c r="P122" s="14"/>
      <c r="Q122" s="14"/>
      <c r="R122" s="14"/>
      <c r="S122" s="14"/>
      <c r="T122" s="37"/>
      <c r="U122" s="16"/>
    </row>
    <row r="123" ht="16" customHeight="1" spans="15:21" x14ac:dyDescent="0.25">
      <c r="O123" s="120" t="s">
        <v>206</v>
      </c>
      <c r="P123" s="120"/>
      <c r="Q123" s="120"/>
      <c r="R123" s="120"/>
      <c r="S123" s="120"/>
      <c r="T123" s="121"/>
      <c r="U123" s="122"/>
    </row>
    <row r="124" spans="6:21" x14ac:dyDescent="0.25">
      <c r="F124" s="4"/>
      <c r="G124" s="4"/>
      <c r="H124" s="4"/>
      <c r="I124" s="4"/>
      <c r="J124" s="4"/>
      <c r="K124" s="4"/>
      <c r="L124" s="4"/>
      <c r="M124" s="4"/>
      <c r="N124" s="4"/>
      <c r="O124" s="120"/>
      <c r="P124" s="120"/>
      <c r="Q124" s="123"/>
      <c r="R124" s="120"/>
      <c r="S124" s="120"/>
      <c r="T124" s="121"/>
      <c r="U124" s="122"/>
    </row>
    <row r="129" ht="24.75" customHeight="1" spans="15:21" x14ac:dyDescent="0.25">
      <c r="O129" s="124" t="s">
        <v>207</v>
      </c>
      <c r="P129" s="124"/>
      <c r="Q129" s="124"/>
      <c r="R129" s="124"/>
      <c r="S129" s="124"/>
      <c r="T129" s="125"/>
      <c r="U129" s="6"/>
    </row>
    <row r="130" spans="21:21" x14ac:dyDescent="0.25">
      <c r="U130" s="6"/>
    </row>
    <row r="131" spans="21:21" x14ac:dyDescent="0.25">
      <c r="U131" s="6"/>
    </row>
    <row r="132" spans="21:21" x14ac:dyDescent="0.25">
      <c r="U132" s="6"/>
    </row>
    <row r="133" spans="1:34" s="85" customFormat="1" x14ac:dyDescent="0.25">
      <c r="A133" s="1"/>
      <c r="B133" s="2"/>
      <c r="C133" s="3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4"/>
      <c r="P133" s="4"/>
      <c r="Q133" s="6"/>
      <c r="R133" s="7"/>
      <c r="S133" s="8"/>
      <c r="T133" s="9"/>
      <c r="U133" s="6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</sheetData>
  <mergeCells count="26">
    <mergeCell ref="A5:S5"/>
    <mergeCell ref="A6:S6"/>
    <mergeCell ref="A7:S7"/>
    <mergeCell ref="A8:S8"/>
    <mergeCell ref="A43:F43"/>
    <mergeCell ref="A49:F49"/>
    <mergeCell ref="A63:F63"/>
    <mergeCell ref="A71:F71"/>
    <mergeCell ref="A80:F80"/>
    <mergeCell ref="C81:F81"/>
    <mergeCell ref="C82:F82"/>
    <mergeCell ref="A84:F84"/>
    <mergeCell ref="A96:F96"/>
    <mergeCell ref="C97:Q97"/>
    <mergeCell ref="C98:F98"/>
    <mergeCell ref="A101:F101"/>
    <mergeCell ref="C102:F102"/>
    <mergeCell ref="A106:F106"/>
    <mergeCell ref="C107:E107"/>
    <mergeCell ref="A115:F115"/>
    <mergeCell ref="A118:F118"/>
    <mergeCell ref="B119:R119"/>
    <mergeCell ref="O121:S121"/>
    <mergeCell ref="O122:S122"/>
    <mergeCell ref="O123:S123"/>
    <mergeCell ref="O129:S129"/>
  </mergeCells>
  <conditionalFormatting sqref="A44"/>
  <conditionalFormatting sqref="B1:B1048576"/>
  <conditionalFormatting sqref="C81:C82"/>
  <conditionalFormatting sqref="C98"/>
  <conditionalFormatting sqref="C102"/>
  <conditionalFormatting sqref="D97"/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2025-11-23T05:33:26Z</dcterms:created>
  <dcterms:modified xsi:type="dcterms:W3CDTF">2025-11-23T06:28:26Z</dcterms:modified>
</cp:coreProperties>
</file>