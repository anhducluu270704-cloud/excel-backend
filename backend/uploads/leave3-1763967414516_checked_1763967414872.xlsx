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1080" yWindow="1260" windowWidth="27640" windowHeight="16740"/>
  </bookViews>
  <sheets>
    <sheet sheetId="1" name="Sheet1" state="visible" r:id="rId4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R57" authorId="0">
      <text>
        <r>
          <rPr>
            <b/>
            <color indexed="81"/>
            <family val="2"/>
            <sz val="9"/>
            <rFont val="Tahoma"/>
          </rPr>
          <t>Hang Nguyen Thi Thu (HRD/CMVN):</t>
        </r>
        <r>
          <rPr>
            <color indexed="81"/>
            <family val="2"/>
            <sz val="9"/>
            <rFont val="Tahoma"/>
          </rPr>
          <t xml:space="preserve">
ngày tháng năm sinh của con</t>
        </r>
      </text>
    </comment>
    <comment ref="S57" authorId="0">
      <text>
        <r>
          <rPr>
            <b/>
            <color indexed="81"/>
            <family val="2"/>
            <sz val="9"/>
            <rFont val="Tahoma"/>
          </rPr>
          <t>Hang Nguyen Thi Thu (HRD/CMVN):</t>
        </r>
        <r>
          <rPr>
            <color indexed="81"/>
            <family val="2"/>
            <sz val="9"/>
            <rFont val="Tahoma"/>
          </rPr>
          <t xml:space="preserve">
Mã thẻ BHYT của con</t>
        </r>
      </text>
    </comment>
    <comment ref="F60" authorId="0">
      <text>
        <r>
          <rPr>
            <b/>
            <color indexed="81"/>
            <family val="2"/>
            <sz val="9"/>
            <rFont val="Tahoma"/>
          </rPr>
          <t>Hang Nguyen Thi Thu (HRD/CMVN):</t>
        </r>
        <r>
          <rPr>
            <color indexed="81"/>
            <family val="2"/>
            <sz val="9"/>
            <rFont val="Tahoma"/>
          </rPr>
          <t xml:space="preserve">
đi làm từ ngày 03/11/2025</t>
        </r>
      </text>
    </comment>
    <comment ref="R75" authorId="0">
      <text>
        <r>
          <rPr>
            <b/>
            <color indexed="81"/>
            <family val="2"/>
            <sz val="9"/>
            <rFont val="Tahoma"/>
          </rPr>
          <t>Hang Nguyen Thi Thu (HRD/CMVN):</t>
        </r>
        <r>
          <rPr>
            <color indexed="81"/>
            <family val="2"/>
            <sz val="9"/>
            <rFont val="Tahoma"/>
          </rPr>
          <t xml:space="preserve">
Tuổi thai</t>
        </r>
      </text>
    </comment>
    <comment ref="R83" authorId="0">
      <text>
        <r>
          <rPr>
            <b/>
            <color indexed="81"/>
            <family val="2"/>
            <sz val="9"/>
            <rFont val="Tahoma"/>
          </rPr>
          <t>Hang Nguyen Thi Thu (HRD/CMVN):</t>
        </r>
        <r>
          <rPr>
            <color indexed="81"/>
            <family val="2"/>
            <sz val="9"/>
            <rFont val="Tahoma"/>
          </rPr>
          <t xml:space="preserve">
Tuổi thai</t>
        </r>
      </text>
    </comment>
    <comment ref="R92" authorId="0">
      <text>
        <r>
          <rPr>
            <b/>
            <color indexed="81"/>
            <family val="2"/>
            <sz val="9"/>
            <rFont val="Tahoma"/>
          </rPr>
          <t>Hang Nguyen Thi Thu (HRD/CMVN):</t>
        </r>
        <r>
          <rPr>
            <color indexed="81"/>
            <family val="2"/>
            <sz val="9"/>
            <rFont val="Tahoma"/>
          </rPr>
          <t xml:space="preserve">
Ngày tháng năm sinh của con</t>
        </r>
      </text>
    </comment>
    <comment ref="R97" authorId="0">
      <text>
        <r>
          <rPr>
            <b/>
            <color indexed="81"/>
            <family val="2"/>
            <sz val="9"/>
            <rFont val="Tahoma"/>
          </rPr>
          <t>Hang Nguyen Thi Thu (HRD/CMVN):</t>
        </r>
        <r>
          <rPr>
            <color indexed="81"/>
            <family val="2"/>
            <sz val="9"/>
            <rFont val="Tahoma"/>
          </rPr>
          <t xml:space="preserve">
Tuổi thai</t>
        </r>
      </text>
    </comment>
    <comment ref="S97" authorId="0">
      <text>
        <r>
          <rPr>
            <b/>
            <color indexed="81"/>
            <family val="2"/>
            <sz val="9"/>
            <rFont val="Tahoma"/>
          </rPr>
          <t>Hang Nguyen Thi Thu (HRD/CMVN):</t>
        </r>
        <r>
          <rPr>
            <color indexed="81"/>
            <family val="2"/>
            <sz val="9"/>
            <rFont val="Tahoma"/>
          </rPr>
          <t xml:space="preserve">
số sổ BHXH, CCCD của vợ</t>
        </r>
      </text>
    </comment>
    <comment ref="R101" authorId="0">
      <text>
        <r>
          <rPr>
            <b/>
            <color indexed="81"/>
            <family val="2"/>
            <sz val="9"/>
            <rFont val="Tahoma"/>
          </rPr>
          <t>Hang Nguyen Thi Thu (HRD/CMVN):</t>
        </r>
        <r>
          <rPr>
            <color indexed="81"/>
            <family val="2"/>
            <sz val="9"/>
            <rFont val="Tahoma"/>
          </rPr>
          <t xml:space="preserve">
ngày sinh của con</t>
        </r>
      </text>
    </comment>
    <comment ref="R102" authorId="0">
      <text>
        <r>
          <rPr>
            <b/>
            <color indexed="81"/>
            <family val="2"/>
            <sz val="9"/>
            <rFont val="Tahoma"/>
          </rPr>
          <t>Hang Nguyen Thi Thu (HRD/CMVN):</t>
        </r>
        <r>
          <rPr>
            <color indexed="81"/>
            <family val="2"/>
            <sz val="9"/>
            <rFont val="Tahoma"/>
          </rPr>
          <t xml:space="preserve">
ngày sinh của con</t>
        </r>
      </text>
    </comment>
    <comment ref="R106" authorId="0">
      <text>
        <r>
          <rPr>
            <b/>
            <color indexed="81"/>
            <family val="2"/>
            <sz val="9"/>
            <rFont val="Tahoma"/>
          </rPr>
          <t>Hang Nguyen Thi Thu (HRD/CMVN):</t>
        </r>
        <r>
          <rPr>
            <color indexed="81"/>
            <family val="2"/>
            <sz val="9"/>
            <rFont val="Tahoma"/>
          </rPr>
          <t xml:space="preserve">
ngày sinh của con</t>
        </r>
      </text>
    </comment>
    <comment ref="S106" authorId="0">
      <text>
        <r>
          <rPr>
            <b/>
            <color indexed="81"/>
            <family val="2"/>
            <sz val="9"/>
            <rFont val="Tahoma"/>
          </rPr>
          <t>Hang Nguyen Thi Thu (HRD/CMVN):</t>
        </r>
        <r>
          <rPr>
            <color indexed="81"/>
            <family val="2"/>
            <sz val="9"/>
            <rFont val="Tahoma"/>
          </rPr>
          <t xml:space="preserve">
số sổ BHXH, CCCD của vợ</t>
        </r>
      </text>
    </comment>
    <comment ref="R112" authorId="0">
      <text>
        <r>
          <rPr>
            <b/>
            <color indexed="81"/>
            <family val="2"/>
            <sz val="9"/>
            <rFont val="Tahoma"/>
          </rPr>
          <t>Hang Nguyen Thi Thu (HRD/CMVN):</t>
        </r>
        <r>
          <rPr>
            <color indexed="81"/>
            <family val="2"/>
            <sz val="9"/>
            <rFont val="Tahoma"/>
          </rPr>
          <t xml:space="preserve">
ngày trở lại làm việc</t>
        </r>
      </text>
    </comment>
    <comment ref="R119" authorId="0">
      <text>
        <r>
          <rPr>
            <b/>
            <color indexed="81"/>
            <family val="2"/>
            <sz val="9"/>
            <rFont val="Tahoma"/>
          </rPr>
          <t>Hang Nguyen Thi Thu (HRD/CMVN):</t>
        </r>
        <r>
          <rPr>
            <color indexed="81"/>
            <family val="2"/>
            <sz val="9"/>
            <rFont val="Tahoma"/>
          </rPr>
          <t xml:space="preserve">
ngày trở lại làm việc</t>
        </r>
      </text>
    </comment>
  </commentList>
</comments>
</file>

<file path=xl/sharedStrings.xml><?xml version="1.0" encoding="utf-8"?>
<sst xmlns="http://schemas.openxmlformats.org/spreadsheetml/2006/main" count="369" uniqueCount="147">
  <si>
    <t>Tên cơ quan đơn vị: Công ty TNHH Crystal Martin (Việt Nam)</t>
  </si>
  <si>
    <t>Mã đơn vị: YN0050Z</t>
  </si>
  <si>
    <t>Số Điện thoại: 0204 381 81 88</t>
  </si>
  <si>
    <t>Số hồ sơ:</t>
  </si>
  <si>
    <t xml:space="preserve">DANH SÁCH ĐỀ NGHỊ GIẢI QUYẾT HƯỞNG CHẾ ĐỘ, ỐM ĐAU, THAI SẢN, </t>
  </si>
  <si>
    <t>DƯỠNG SỨC PHỤC HỒI SỨC KHỎE</t>
  </si>
  <si>
    <t>Đợt VII tháng 10 năm 2025</t>
  </si>
  <si>
    <t>Số tài khoản: 0351000777749          Mở tại: Ngân hàng TMCP Ngoại thương Việt Nam       Chi nhánh: Bắc Ninh</t>
  </si>
  <si>
    <t>PHẦN 1: DANH SÁCH ĐỀ NGHỊ HƯỞNG CHẾ ĐỘ MỚI PHÁT SINH</t>
  </si>
  <si>
    <t>STT</t>
  </si>
  <si>
    <t>MNV</t>
  </si>
  <si>
    <t>Họ và tên</t>
  </si>
  <si>
    <t>Mã số BHXH</t>
  </si>
  <si>
    <t>Số ngày nghỉ được tính hưởng trợ cấp</t>
  </si>
  <si>
    <t>Mã hồ sơ</t>
  </si>
  <si>
    <t>Thông tin về tài khoản nhận trợ cấp</t>
  </si>
  <si>
    <t xml:space="preserve">Chỉ tiêu xác định điều kiện, mức hưởng  </t>
  </si>
  <si>
    <t>Ghi chú</t>
  </si>
  <si>
    <t>Từ ngày</t>
  </si>
  <si>
    <t>Đến ngày</t>
  </si>
  <si>
    <t>Tổng số</t>
  </si>
  <si>
    <r>
      <t>(</t>
    </r>
    <r>
      <rPr>
        <i/>
        <family val="1"/>
        <sz val="12"/>
        <rFont val="Times New Roman"/>
      </rPr>
      <t>Áp dụng cho giao dịch điện tử không kèm hồ sơ giấy</t>
    </r>
    <r>
      <rPr>
        <family val="1"/>
        <sz val="12"/>
        <rFont val="Times New Roman"/>
      </rPr>
      <t>)</t>
    </r>
  </si>
  <si>
    <t>Số seri</t>
  </si>
  <si>
    <t>A</t>
  </si>
  <si>
    <t>B</t>
  </si>
  <si>
    <t>C</t>
  </si>
  <si>
    <t>D</t>
  </si>
  <si>
    <t>E</t>
  </si>
  <si>
    <t>CHẾ ĐỘ ỐM ĐAU</t>
  </si>
  <si>
    <t xml:space="preserve"> </t>
  </si>
  <si>
    <t>I</t>
  </si>
  <si>
    <t>Ốm thường</t>
  </si>
  <si>
    <t>CN</t>
  </si>
  <si>
    <t>T2</t>
  </si>
  <si>
    <t>T3</t>
  </si>
  <si>
    <t>T4</t>
  </si>
  <si>
    <t>T5</t>
  </si>
  <si>
    <t>T6</t>
  </si>
  <si>
    <t>T7</t>
  </si>
  <si>
    <t>Tổng</t>
  </si>
  <si>
    <t>250863</t>
  </si>
  <si>
    <t>Không được duyệt trong đợt 02 tháng 03 năm 2024 của cơ quan BHXH</t>
  </si>
  <si>
    <t>Nghỉ ốm</t>
  </si>
  <si>
    <t>GCN2</t>
  </si>
  <si>
    <t>240713</t>
  </si>
  <si>
    <t>242470</t>
  </si>
  <si>
    <t>245881</t>
  </si>
  <si>
    <t>224939</t>
  </si>
  <si>
    <t>230423</t>
  </si>
  <si>
    <t>Có chấm công trong ngày nghỉ: 1/11/25 (In/Out: 07:34-16:30); 3/11/25 (In/Out: 07:35-19:59); 4/11/25 (In/Out: 07:39-19:59); 5/11/25 (In/Out: 07:34-19:59); 6/11/25 (In/Out: 07:37-19:59); 7/11/25 (In/Out: 07:38-19:59); 8/11/25 (In/Out: 07:40-16:30); 10/11/25 (In/Out: 07:34-19:59); 11/11/25 (In/Out: 07:40-19:59); 12/11/25 (In/Out: 07:36-19:58); 13/11/25 (In/Out: 07:36-19:59); 14/11/25 (In/Out: 07:34-19:59); 15/11/25 (In/Out: 07:36-16:30); 16/11/25 (In/Out: 07:31-16:30); 17/11/25 (In/Out: 07:34-19:59)</t>
  </si>
  <si>
    <t>200150</t>
  </si>
  <si>
    <t>251271</t>
  </si>
  <si>
    <t>241234</t>
  </si>
  <si>
    <t>249059</t>
  </si>
  <si>
    <t>247193</t>
  </si>
  <si>
    <t>252302</t>
  </si>
  <si>
    <t>244650</t>
  </si>
  <si>
    <t>243408</t>
  </si>
  <si>
    <t>242304</t>
  </si>
  <si>
    <t>237651</t>
  </si>
  <si>
    <t>244312</t>
  </si>
  <si>
    <t>251133</t>
  </si>
  <si>
    <t>238588</t>
  </si>
  <si>
    <t>252003</t>
  </si>
  <si>
    <t>247909</t>
  </si>
  <si>
    <t>Giấy ra viện</t>
  </si>
  <si>
    <t>242011</t>
  </si>
  <si>
    <t>246500</t>
  </si>
  <si>
    <t>243492</t>
  </si>
  <si>
    <t>239155</t>
  </si>
  <si>
    <t>Có chấm công trong ngày nghỉ: 10/11/25 (In/Out: 07:33-19:52)</t>
  </si>
  <si>
    <t>Giấy ra viện, phiếu mổ</t>
  </si>
  <si>
    <t>201256</t>
  </si>
  <si>
    <t>Có chấm công trong ngày nghỉ: 4/11/25 (In/Out: 07:52-12:33)</t>
  </si>
  <si>
    <t>246552</t>
  </si>
  <si>
    <t>Có chấm công trong ngày nghỉ: 18/11/25 (In/Out: 07:31-16:32); 19/11/25 (In/Out: 07:31-16:37); 20/11/25 (In/Out: 07:41-16:29)</t>
  </si>
  <si>
    <t>249379</t>
  </si>
  <si>
    <t>209576</t>
  </si>
  <si>
    <t>Có chấm công trong ngày nghỉ: 15/11/25 (Pay1: 480)</t>
  </si>
  <si>
    <t>237176</t>
  </si>
  <si>
    <t>Giấy ra viện, Phiếu mổ</t>
  </si>
  <si>
    <t>Cộng</t>
  </si>
  <si>
    <t>II</t>
  </si>
  <si>
    <t>Ốm dài ngày</t>
  </si>
  <si>
    <t>III</t>
  </si>
  <si>
    <t>Con ốm</t>
  </si>
  <si>
    <t>-</t>
  </si>
  <si>
    <t>Con dưới 03 tuổi</t>
  </si>
  <si>
    <t>237131</t>
  </si>
  <si>
    <t>Giấy ra viện, GKS</t>
  </si>
  <si>
    <t>251673</t>
  </si>
  <si>
    <t>249576</t>
  </si>
  <si>
    <t>GCN2, GKS</t>
  </si>
  <si>
    <t>210219</t>
  </si>
  <si>
    <t>211654</t>
  </si>
  <si>
    <t>250846</t>
  </si>
  <si>
    <t>226387</t>
  </si>
  <si>
    <t>251146</t>
  </si>
  <si>
    <t>230895</t>
  </si>
  <si>
    <t>202228</t>
  </si>
  <si>
    <t>Có chấm công trong ngày nghỉ: 18/11/25 (In/Out: 07:42-16:32)</t>
  </si>
  <si>
    <t>Con từ đủ 03 tuổi đến 07 tuổi</t>
  </si>
  <si>
    <t>CHẾ ĐỘ THAI SẢN</t>
  </si>
  <si>
    <t>Khám thai</t>
  </si>
  <si>
    <t>237135</t>
  </si>
  <si>
    <t>242493</t>
  </si>
  <si>
    <t>238697</t>
  </si>
  <si>
    <t>Sảy thai, nạo hút thai, thai chết lưu hoặc phá thai bệnh lý</t>
  </si>
  <si>
    <t xml:space="preserve">- </t>
  </si>
  <si>
    <t>Trường hợp thai từ 05 tuần tuổi đến dưới 13 tuần tuổi</t>
  </si>
  <si>
    <t>Sẩy thai</t>
  </si>
  <si>
    <t>Sinh con</t>
  </si>
  <si>
    <t>Trường hợp thông thường</t>
  </si>
  <si>
    <t>+</t>
  </si>
  <si>
    <t>Sinh một con</t>
  </si>
  <si>
    <t>243726</t>
  </si>
  <si>
    <t>248031</t>
  </si>
  <si>
    <t>Giấy ra viện, GKS, CNPT</t>
  </si>
  <si>
    <t>241960</t>
  </si>
  <si>
    <t>Giấy chứng sinh, GKS</t>
  </si>
  <si>
    <t>247188</t>
  </si>
  <si>
    <t>248577</t>
  </si>
  <si>
    <t>IV</t>
  </si>
  <si>
    <t>Lao động nam, người chồng của lao động nữ mang thai hộ nghỉ việc khi vợ sinh con</t>
  </si>
  <si>
    <t>Trường hợp sinh thông thường</t>
  </si>
  <si>
    <t>248578</t>
  </si>
  <si>
    <t>Nam nghỉ việc khi vợ sinh</t>
  </si>
  <si>
    <t>Trường hợp sinh con phải phẫu thuật, sinh con dưới 32 tuần tuổi</t>
  </si>
  <si>
    <t>243414</t>
  </si>
  <si>
    <t>V</t>
  </si>
  <si>
    <t>Lao động nam, người chồng của người mẹ nhờ mang thai hộ hưởng trợ cấp một lần khi vợ sinh con, nhận con</t>
  </si>
  <si>
    <t>Nam hưởng trợ cấp 1 lần khi vợ sinh</t>
  </si>
  <si>
    <t>Bản cam kết, GKS, CCCD, BHYT</t>
  </si>
  <si>
    <t xml:space="preserve">NGHỈ DƯỠNG SỨC PHỤC HỒI SỨC KHỎE </t>
  </si>
  <si>
    <t>Thai sản</t>
  </si>
  <si>
    <t>Dưỡng sức sau sinh thường</t>
  </si>
  <si>
    <t>241553</t>
  </si>
  <si>
    <t>19/11/2025</t>
  </si>
  <si>
    <t>Dưỡng sức sau sinh khác</t>
  </si>
  <si>
    <t>Form nghỉ dưỡng sức</t>
  </si>
  <si>
    <t>237474</t>
  </si>
  <si>
    <t>Dưỡng sức sau sinh phẫu thuật</t>
  </si>
  <si>
    <t>*Giải trình trong trường hợp nộp hồ sơ chậm:</t>
  </si>
  <si>
    <t>Bắc Giang, ngày 21 tháng 08 năm 2025</t>
  </si>
  <si>
    <t>KT/ Thủ trưởng đơn vị</t>
  </si>
  <si>
    <t>(Ký ghi rõ họ tên và đóng dấu hoặc ký số)</t>
  </si>
  <si>
    <t>NGUYỄN THỊ THOA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</si>
</sst>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14" x14ac:knownFonts="1">
    <font>
      <color theme="1"/>
      <family val="2"/>
      <scheme val="minor"/>
      <sz val="11"/>
      <name val="Calibri"/>
    </font>
    <font>
      <family val="1"/>
      <sz val="12"/>
      <name val="Times New Roman"/>
    </font>
    <font>
      <b/>
      <family val="1"/>
      <sz val="12"/>
      <name val="Times New Roman"/>
    </font>
    <font>
      <family val="2"/>
      <scheme val="minor"/>
      <sz val="11"/>
      <name val="Calibri"/>
    </font>
    <font>
      <b/>
      <family val="1"/>
      <sz val="16"/>
      <name val="Times New Roman"/>
    </font>
    <font>
      <b/>
      <color theme="1"/>
      <family val="2"/>
      <scheme val="minor"/>
      <sz val="11"/>
      <name val="Calibri"/>
    </font>
    <font>
      <color rgb="FFFF0000"/>
      <family val="1"/>
      <sz val="12"/>
      <name val="Times New Roman"/>
    </font>
    <font>
      <i/>
      <family val="1"/>
      <sz val="12"/>
      <name val="Times New Roman"/>
    </font>
    <font>
      <color theme="1"/>
      <family val="1"/>
      <sz val="12"/>
      <name val="Times New Roman"/>
    </font>
    <font>
      <b/>
      <color theme="1"/>
      <family val="1"/>
      <sz val="12"/>
      <name val="Times New Roman"/>
    </font>
    <font>
      <color theme="1"/>
      <family val="2"/>
      <scheme val="minor"/>
      <sz val="12"/>
      <name val="Calibri"/>
    </font>
    <font>
      <color theme="1"/>
      <family val="2"/>
      <sz val="12"/>
      <name val="Arial"/>
    </font>
    <font>
      <i/>
      <color theme="1"/>
      <family val="1"/>
      <sz val="12"/>
      <name val="Times New Roman"/>
    </font>
    <font>
      <b/>
      <i/>
      <family val="1"/>
      <sz val="12"/>
      <name val="Times New Roman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/>
      <top style="thin">
        <color indexed="64"/>
      </top>
      <bottom style="thin"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1">
    <xf numFmtId="0" fontId="0" fillId="0" borderId="0"/>
  </cellStyleXfs>
  <cellXfs count="126">
    <xf numFmtId="0" fontId="0" fillId="0" borderId="0" xfId="0"/>
    <xf numFmtId="0" fontId="1" fillId="0" borderId="0" xfId="0" applyFont="1" applyAlignment="1">
      <alignment vertical="center"/>
    </xf>
    <xf numFmtId="49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 shrinkToFit="1"/>
    </xf>
    <xf numFmtId="0" fontId="1" fillId="0" borderId="0" xfId="0" applyFont="1" applyAlignment="1">
      <alignment horizontal="center" vertical="center"/>
    </xf>
    <xf numFmtId="14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49" fontId="1" fillId="0" borderId="0" xfId="0" applyNumberFormat="1" applyFont="1" applyAlignment="1">
      <alignment vertical="center" wrapText="1"/>
    </xf>
    <xf numFmtId="49" fontId="1" fillId="0" borderId="0" xfId="0" applyNumberFormat="1" applyFont="1" applyAlignment="1">
      <alignment horizontal="left" vertical="center" wrapText="1"/>
    </xf>
    <xf numFmtId="0" fontId="2" fillId="0" borderId="0" xfId="0" applyFont="1" applyAlignment="1">
      <alignment vertical="top"/>
    </xf>
    <xf numFmtId="49" fontId="2" fillId="0" borderId="0" xfId="0" applyNumberFormat="1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49" fontId="2" fillId="0" borderId="0" xfId="0" applyNumberFormat="1" applyFont="1" applyAlignment="1">
      <alignment horizontal="left" vertical="center" wrapText="1"/>
    </xf>
    <xf numFmtId="0" fontId="2" fillId="0" borderId="0" xfId="0" applyFont="1" applyAlignment="1">
      <alignment horizontal="left" vertical="top"/>
    </xf>
    <xf numFmtId="49" fontId="3" fillId="0" borderId="0" xfId="0" applyNumberFormat="1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49" fontId="4" fillId="0" borderId="0" xfId="0" applyNumberFormat="1" applyFont="1" applyAlignment="1">
      <alignment horizontal="left" vertical="center"/>
    </xf>
    <xf numFmtId="49" fontId="4" fillId="0" borderId="0" xfId="0" applyNumberFormat="1" applyFont="1" applyAlignment="1">
      <alignment horizontal="center" vertical="center"/>
    </xf>
    <xf numFmtId="49" fontId="2" fillId="0" borderId="0" xfId="0" applyNumberFormat="1" applyFont="1" applyAlignment="1">
      <alignment horizontal="left" vertical="center"/>
    </xf>
    <xf numFmtId="14" fontId="2" fillId="0" borderId="0" xfId="0" applyNumberFormat="1" applyFont="1" applyAlignment="1">
      <alignment horizontal="center" vertical="center"/>
    </xf>
    <xf numFmtId="14" fontId="1" fillId="0" borderId="0" xfId="0" applyNumberFormat="1" applyFont="1" applyAlignment="1">
      <alignment vertical="center" wrapText="1"/>
    </xf>
    <xf numFmtId="0" fontId="2" fillId="0" borderId="0" xfId="0" applyFont="1" applyAlignment="1">
      <alignment vertical="center"/>
    </xf>
    <xf numFmtId="49" fontId="2" fillId="0" borderId="0" xfId="0" applyNumberFormat="1" applyFont="1" applyAlignment="1">
      <alignment vertical="center"/>
    </xf>
    <xf numFmtId="164" fontId="1" fillId="0" borderId="0" xfId="0" applyNumberFormat="1" applyFont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49" fontId="2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shrinkToFi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49" fontId="2" fillId="0" borderId="5" xfId="0" applyNumberFormat="1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shrinkToFit="1"/>
    </xf>
    <xf numFmtId="14" fontId="2" fillId="0" borderId="1" xfId="0" applyNumberFormat="1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49" fontId="2" fillId="0" borderId="6" xfId="0" applyNumberFormat="1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shrinkToFit="1"/>
    </xf>
    <xf numFmtId="14" fontId="2" fillId="0" borderId="6" xfId="0" applyNumberFormat="1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49" fontId="2" fillId="0" borderId="7" xfId="0" applyNumberFormat="1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shrinkToFit="1"/>
    </xf>
    <xf numFmtId="0" fontId="2" fillId="0" borderId="7" xfId="0" applyFont="1" applyBorder="1" applyAlignment="1">
      <alignment vertical="center" shrinkToFit="1"/>
    </xf>
    <xf numFmtId="14" fontId="2" fillId="0" borderId="7" xfId="0" applyNumberFormat="1" applyFont="1" applyBorder="1" applyAlignment="1">
      <alignment horizontal="center" vertical="center" wrapText="1"/>
    </xf>
    <xf numFmtId="0" fontId="2" fillId="0" borderId="7" xfId="0" applyFont="1" applyBorder="1" applyAlignment="1">
      <alignment horizontal="left" vertical="center" wrapText="1"/>
    </xf>
    <xf numFmtId="0" fontId="2" fillId="0" borderId="7" xfId="0" applyFont="1" applyBorder="1" applyAlignment="1">
      <alignment vertical="center" wrapText="1"/>
    </xf>
    <xf numFmtId="49" fontId="5" fillId="0" borderId="4" xfId="0" applyNumberFormat="1" applyFont="1" applyBorder="1" applyAlignment="1">
      <alignment horizontal="center" wrapText="1"/>
    </xf>
    <xf numFmtId="49" fontId="1" fillId="0" borderId="7" xfId="0" applyNumberFormat="1" applyFont="1" applyBorder="1" applyAlignment="1">
      <alignment horizontal="center" vertical="center"/>
    </xf>
    <xf numFmtId="0" fontId="1" fillId="0" borderId="7" xfId="0" applyFont="1" applyBorder="1" applyAlignment="1">
      <alignment vertical="center" shrinkToFit="1"/>
    </xf>
    <xf numFmtId="14" fontId="1" fillId="0" borderId="7" xfId="0" applyNumberFormat="1" applyFont="1" applyBorder="1" applyAlignment="1">
      <alignment horizontal="center" vertical="center" wrapText="1"/>
    </xf>
    <xf numFmtId="49" fontId="5" fillId="0" borderId="7" xfId="0" applyNumberFormat="1" applyFont="1" applyBorder="1" applyAlignment="1">
      <alignment horizontal="center" wrapText="1"/>
    </xf>
    <xf numFmtId="0" fontId="1" fillId="0" borderId="7" xfId="0" applyFont="1" applyBorder="1" applyAlignment="1">
      <alignment horizontal="left" vertical="center" wrapText="1"/>
    </xf>
    <xf numFmtId="0" fontId="6" fillId="0" borderId="7" xfId="0" applyFont="1" applyBorder="1" applyAlignment="1">
      <alignment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8" xfId="0" applyFont="1" applyBorder="1" applyAlignment="1">
      <alignment vertical="center" wrapText="1"/>
    </xf>
    <xf numFmtId="0" fontId="1" fillId="0" borderId="7" xfId="0" applyFont="1" applyBorder="1" applyAlignment="1">
      <alignment horizontal="center" vertical="center" shrinkToFit="1"/>
    </xf>
    <xf numFmtId="0" fontId="7" fillId="0" borderId="7" xfId="0" applyFont="1" applyBorder="1" applyAlignment="1">
      <alignment vertical="center" shrinkToFit="1"/>
    </xf>
    <xf numFmtId="14" fontId="2" fillId="0" borderId="7" xfId="0" applyNumberFormat="1" applyFont="1" applyBorder="1" applyAlignment="1">
      <alignment horizontal="left" vertical="center" wrapText="1"/>
    </xf>
    <xf numFmtId="14" fontId="1" fillId="0" borderId="7" xfId="0" applyNumberFormat="1" applyFont="1" applyBorder="1" applyAlignment="1">
      <alignment horizontal="left" vertical="center" wrapText="1"/>
    </xf>
    <xf numFmtId="49" fontId="1" fillId="0" borderId="7" xfId="0" applyNumberFormat="1" applyFont="1" applyBorder="1" applyAlignment="1">
      <alignment vertical="center" wrapText="1"/>
    </xf>
    <xf numFmtId="0" fontId="1" fillId="0" borderId="0" xfId="0" applyFont="1" applyAlignment="1">
      <alignment horizontal="left" vertical="center" wrapText="1"/>
    </xf>
    <xf numFmtId="0" fontId="8" fillId="0" borderId="7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2" fillId="0" borderId="3" xfId="0" applyFont="1" applyBorder="1" applyAlignment="1">
      <alignment horizontal="left" vertical="center" wrapText="1"/>
    </xf>
    <xf numFmtId="0" fontId="2" fillId="0" borderId="4" xfId="0" applyFont="1" applyBorder="1" applyAlignment="1">
      <alignment vertical="center" wrapText="1"/>
    </xf>
    <xf numFmtId="49" fontId="1" fillId="0" borderId="0" xfId="0" applyNumberFormat="1" applyFont="1" applyAlignment="1">
      <alignment horizontal="center" vertical="center"/>
    </xf>
    <xf numFmtId="0" fontId="1" fillId="0" borderId="2" xfId="0" applyFont="1" applyBorder="1" applyAlignment="1">
      <alignment horizontal="left" vertical="center" wrapText="1"/>
    </xf>
    <xf numFmtId="0" fontId="9" fillId="0" borderId="7" xfId="0" applyFont="1" applyBorder="1" applyAlignment="1">
      <alignment horizontal="center" vertical="center" wrapText="1"/>
    </xf>
    <xf numFmtId="0" fontId="10" fillId="0" borderId="7" xfId="0" applyFont="1" applyBorder="1"/>
    <xf numFmtId="0" fontId="9" fillId="0" borderId="7" xfId="0" applyFont="1" applyBorder="1" applyAlignment="1">
      <alignment horizontal="left" vertical="center" wrapText="1"/>
    </xf>
    <xf numFmtId="0" fontId="9" fillId="0" borderId="0" xfId="0" applyFont="1" applyAlignment="1">
      <alignment horizontal="left" vertical="center" wrapText="1"/>
    </xf>
    <xf numFmtId="0" fontId="9" fillId="0" borderId="9" xfId="0" applyFont="1" applyBorder="1" applyAlignment="1">
      <alignment vertical="center" wrapText="1"/>
    </xf>
    <xf numFmtId="0" fontId="9" fillId="0" borderId="10" xfId="0" applyFont="1" applyBorder="1" applyAlignment="1">
      <alignment vertical="center" wrapText="1"/>
    </xf>
    <xf numFmtId="0" fontId="9" fillId="0" borderId="11" xfId="0" applyFont="1" applyBorder="1" applyAlignment="1">
      <alignment vertical="center" wrapText="1"/>
    </xf>
    <xf numFmtId="0" fontId="9" fillId="0" borderId="7" xfId="0" applyFont="1" applyBorder="1" applyAlignment="1">
      <alignment vertical="center" wrapText="1"/>
    </xf>
    <xf numFmtId="0" fontId="11" fillId="0" borderId="7" xfId="0" applyFont="1" applyBorder="1"/>
    <xf numFmtId="0" fontId="11" fillId="0" borderId="0" xfId="0" applyFont="1"/>
    <xf numFmtId="0" fontId="11" fillId="0" borderId="0" xfId="0" applyFont="1" applyAlignment="1">
      <alignment horizontal="center"/>
    </xf>
    <xf numFmtId="14" fontId="1" fillId="0" borderId="0" xfId="0" applyNumberFormat="1" applyFont="1" applyAlignment="1">
      <alignment vertical="center"/>
    </xf>
    <xf numFmtId="0" fontId="8" fillId="0" borderId="1" xfId="0" applyFont="1" applyBorder="1" applyAlignment="1">
      <alignment horizontal="center" vertical="center" wrapText="1"/>
    </xf>
    <xf numFmtId="0" fontId="10" fillId="0" borderId="1" xfId="0" applyFont="1" applyBorder="1"/>
    <xf numFmtId="0" fontId="12" fillId="0" borderId="1" xfId="0" applyFont="1" applyBorder="1" applyAlignment="1">
      <alignment horizontal="left" vertical="center" wrapText="1"/>
    </xf>
    <xf numFmtId="0" fontId="9" fillId="0" borderId="12" xfId="0" applyFont="1" applyBorder="1" applyAlignment="1">
      <alignment vertical="center" wrapText="1"/>
    </xf>
    <xf numFmtId="0" fontId="9" fillId="0" borderId="13" xfId="0" applyFont="1" applyBorder="1" applyAlignment="1">
      <alignment vertical="center" wrapText="1"/>
    </xf>
    <xf numFmtId="0" fontId="9" fillId="0" borderId="14" xfId="0" applyFont="1" applyBorder="1" applyAlignment="1">
      <alignment vertical="center" wrapText="1"/>
    </xf>
    <xf numFmtId="0" fontId="9" fillId="0" borderId="1" xfId="0" applyFont="1" applyBorder="1" applyAlignment="1">
      <alignment vertical="center" wrapText="1"/>
    </xf>
    <xf numFmtId="0" fontId="11" fillId="0" borderId="1" xfId="0" applyFont="1" applyBorder="1"/>
    <xf numFmtId="49" fontId="1" fillId="0" borderId="0" xfId="0" applyNumberFormat="1" applyFont="1" applyAlignment="1">
      <alignment horizontal="left" vertical="center"/>
    </xf>
    <xf numFmtId="49" fontId="1" fillId="0" borderId="0" xfId="0" applyNumberFormat="1" applyFont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49" fontId="7" fillId="0" borderId="7" xfId="0" applyNumberFormat="1" applyFont="1" applyBorder="1" applyAlignment="1">
      <alignment horizontal="center" vertical="center" wrapText="1"/>
    </xf>
    <xf numFmtId="49" fontId="1" fillId="0" borderId="7" xfId="0" applyNumberFormat="1" applyFont="1" applyBorder="1" applyAlignment="1">
      <alignment horizontal="center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 wrapText="1"/>
    </xf>
    <xf numFmtId="0" fontId="7" fillId="0" borderId="2" xfId="0" applyFont="1" applyBorder="1" applyAlignment="1">
      <alignment horizontal="left" vertical="center" wrapText="1"/>
    </xf>
    <xf numFmtId="0" fontId="7" fillId="0" borderId="3" xfId="0" applyFont="1" applyBorder="1" applyAlignment="1">
      <alignment horizontal="left" vertical="center" wrapText="1"/>
    </xf>
    <xf numFmtId="0" fontId="7" fillId="0" borderId="4" xfId="0" applyFont="1" applyBorder="1" applyAlignment="1">
      <alignment vertical="center" shrinkToFit="1"/>
    </xf>
    <xf numFmtId="0" fontId="1" fillId="0" borderId="7" xfId="0" applyFont="1" applyBorder="1" applyAlignment="1">
      <alignment vertical="center" wrapText="1"/>
    </xf>
    <xf numFmtId="0" fontId="1" fillId="0" borderId="7" xfId="0" applyFont="1" applyBorder="1" applyAlignment="1">
      <alignment vertical="center"/>
    </xf>
    <xf numFmtId="0" fontId="1" fillId="0" borderId="3" xfId="0" applyFont="1" applyBorder="1" applyAlignment="1">
      <alignment horizontal="center" vertical="center"/>
    </xf>
    <xf numFmtId="0" fontId="2" fillId="0" borderId="3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13" fillId="0" borderId="2" xfId="0" applyFont="1" applyBorder="1" applyAlignment="1">
      <alignment vertical="center" shrinkToFit="1"/>
    </xf>
    <xf numFmtId="0" fontId="13" fillId="0" borderId="3" xfId="0" applyFont="1" applyBorder="1" applyAlignment="1">
      <alignment vertical="center" shrinkToFit="1"/>
    </xf>
    <xf numFmtId="0" fontId="13" fillId="0" borderId="4" xfId="0" applyFont="1" applyBorder="1" applyAlignment="1">
      <alignment vertical="center" shrinkToFit="1"/>
    </xf>
    <xf numFmtId="0" fontId="13" fillId="0" borderId="7" xfId="0" applyFont="1" applyBorder="1" applyAlignment="1">
      <alignment vertical="center" wrapText="1"/>
    </xf>
    <xf numFmtId="14" fontId="2" fillId="0" borderId="7" xfId="0" applyNumberFormat="1" applyFont="1" applyBorder="1" applyAlignment="1">
      <alignment horizontal="center" vertical="center"/>
    </xf>
    <xf numFmtId="0" fontId="1" fillId="0" borderId="0" xfId="0" applyFont="1" applyAlignment="1">
      <alignment horizontal="left" vertical="center" shrinkToFit="1"/>
    </xf>
    <xf numFmtId="49" fontId="1" fillId="0" borderId="0" xfId="0" applyNumberFormat="1" applyFont="1" applyAlignment="1">
      <alignment horizontal="left" vertical="center" shrinkToFit="1"/>
    </xf>
    <xf numFmtId="14" fontId="2" fillId="0" borderId="0" xfId="0" applyNumberFormat="1" applyFont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49" fontId="7" fillId="0" borderId="0" xfId="0" applyNumberFormat="1" applyFont="1" applyAlignment="1">
      <alignment horizontal="center" vertical="center" wrapText="1"/>
    </xf>
    <xf numFmtId="49" fontId="7" fillId="0" borderId="0" xfId="0" applyNumberFormat="1" applyFont="1" applyAlignment="1">
      <alignment horizontal="left" vertical="center" wrapText="1"/>
    </xf>
    <xf numFmtId="0" fontId="7" fillId="0" borderId="0" xfId="0" applyFont="1" applyAlignment="1">
      <alignment horizontal="left" vertical="center" wrapText="1"/>
    </xf>
    <xf numFmtId="0" fontId="13" fillId="0" borderId="0" xfId="0" applyFont="1" applyAlignment="1">
      <alignment horizontal="center" vertical="center"/>
    </xf>
    <xf numFmtId="49" fontId="13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2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135"/>
  <sheetViews>
    <sheetView workbookViewId="0" zoomScale="100" zoomScaleNormal="100">
      <selection activeCell="M16" sqref="M16"/>
    </sheetView>
  </sheetViews>
  <sheetFormatPr defaultRowHeight="16" outlineLevelRow="0" outlineLevelCol="0" x14ac:dyDescent="0.2" defaultColWidth="9.1640625" customHeight="1"/>
  <cols>
    <col min="1" max="1" width="6.1640625" style="1" customWidth="1"/>
    <col min="2" max="2" width="7.83203125" style="2" customWidth="1"/>
    <col min="3" max="3" width="33.83203125" style="3" customWidth="1"/>
    <col min="4" max="4" width="15.33203125" style="4" customWidth="1"/>
    <col min="5" max="6" width="16.5" style="5" customWidth="1"/>
    <col min="7" max="14" width="10" style="5" customWidth="1"/>
    <col min="15" max="15" width="8.33203125" style="4" customWidth="1"/>
    <col min="16" max="16" width="18.1640625" style="4" customWidth="1"/>
    <col min="17" max="17" width="23.5" style="6" customWidth="1"/>
    <col min="18" max="18" width="28.83203125" style="7" hidden="1" customWidth="1"/>
    <col min="19" max="19" width="33.83203125" style="8" customWidth="1"/>
    <col min="20" max="20" width="18.5" style="9" customWidth="1"/>
    <col min="21" max="21" width="17.5" style="10" customWidth="1"/>
    <col min="22" max="22" width="15.5" style="2" customWidth="1"/>
    <col min="23" max="23" width="14.83203125" style="1" customWidth="1"/>
    <col min="24" max="24" width="11.33203125" style="1" customWidth="1"/>
    <col min="25" max="16384" width="9.1640625" style="1" customWidth="1"/>
  </cols>
  <sheetData>
    <row r="1" ht="16.5" customHeight="1" spans="1:21" x14ac:dyDescent="0.25">
      <c r="A1" s="11" t="s">
        <v>0</v>
      </c>
      <c r="B1" s="12"/>
      <c r="C1" s="13"/>
      <c r="D1" s="14"/>
      <c r="E1" s="13"/>
      <c r="F1" s="13"/>
      <c r="G1" s="13"/>
      <c r="H1" s="13"/>
      <c r="I1" s="13"/>
      <c r="J1" s="13"/>
      <c r="K1" s="13"/>
      <c r="L1" s="13"/>
      <c r="M1" s="13"/>
      <c r="N1" s="13"/>
      <c r="O1" s="14"/>
      <c r="P1" s="14"/>
      <c r="Q1" s="15"/>
      <c r="R1" s="14"/>
      <c r="T1" s="12"/>
      <c r="U1" s="16"/>
    </row>
    <row r="2" ht="15.75" customHeight="1" spans="1:21" x14ac:dyDescent="0.25">
      <c r="A2" s="17" t="s">
        <v>1</v>
      </c>
      <c r="B2" s="18"/>
      <c r="C2" s="19"/>
      <c r="D2" s="20"/>
      <c r="E2" s="19"/>
      <c r="F2" s="8"/>
      <c r="G2" s="8"/>
      <c r="H2" s="8"/>
      <c r="I2" s="8"/>
      <c r="J2" s="8"/>
      <c r="K2" s="8"/>
      <c r="L2" s="8"/>
      <c r="M2" s="8"/>
      <c r="N2" s="8"/>
      <c r="O2" s="14"/>
      <c r="P2" s="14"/>
      <c r="Q2" s="15"/>
      <c r="R2" s="14"/>
      <c r="S2" s="13"/>
      <c r="T2" s="12"/>
      <c r="U2" s="16"/>
    </row>
    <row r="3" ht="15.75" customHeight="1" spans="1:21" x14ac:dyDescent="0.25">
      <c r="A3" s="17" t="s">
        <v>2</v>
      </c>
      <c r="B3" s="18"/>
      <c r="C3" s="19"/>
      <c r="D3" s="20"/>
      <c r="E3" s="19"/>
      <c r="F3" s="8"/>
      <c r="G3" s="8"/>
      <c r="H3" s="8"/>
      <c r="I3" s="8"/>
      <c r="J3" s="8"/>
      <c r="K3" s="8"/>
      <c r="L3" s="8"/>
      <c r="M3" s="8"/>
      <c r="N3" s="8"/>
      <c r="O3" s="14"/>
      <c r="P3" s="14"/>
      <c r="Q3" s="15"/>
      <c r="R3" s="14"/>
      <c r="S3" s="13"/>
      <c r="T3" s="12"/>
      <c r="U3" s="16"/>
    </row>
    <row r="4" ht="15.75" customHeight="1" spans="1:19" x14ac:dyDescent="0.25">
      <c r="A4" s="21"/>
      <c r="B4" s="22"/>
      <c r="S4" s="13" t="s">
        <v>3</v>
      </c>
    </row>
    <row r="5" ht="28.5" customHeight="1" spans="1:21" x14ac:dyDescent="0.25">
      <c r="A5" s="23" t="s">
        <v>4</v>
      </c>
      <c r="B5" s="23"/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4"/>
      <c r="U5" s="24"/>
    </row>
    <row r="6" ht="20.25" customHeight="1" spans="1:21" x14ac:dyDescent="0.25">
      <c r="A6" s="23" t="s">
        <v>5</v>
      </c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5"/>
      <c r="U6" s="24"/>
    </row>
    <row r="7" ht="18" customHeight="1" spans="1:21" x14ac:dyDescent="0.25">
      <c r="A7" s="21" t="s">
        <v>6</v>
      </c>
      <c r="B7" s="21"/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2"/>
      <c r="U7" s="26"/>
    </row>
    <row r="8" ht="19.5" customHeight="1" spans="1:20" x14ac:dyDescent="0.25">
      <c r="A8" s="21" t="s">
        <v>7</v>
      </c>
      <c r="B8" s="21"/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7"/>
    </row>
    <row r="9" ht="15.75" customHeight="1" spans="19:19" x14ac:dyDescent="0.25">
      <c r="S9" s="28"/>
    </row>
    <row r="10" ht="19.5" customHeight="1" spans="1:20" x14ac:dyDescent="0.25">
      <c r="A10" s="29" t="s">
        <v>8</v>
      </c>
      <c r="B10" s="30"/>
      <c r="S10" s="28"/>
      <c r="T10" s="31"/>
    </row>
    <row r="11" ht="15.75" customHeight="1" spans="19:19" x14ac:dyDescent="0.25">
      <c r="S11" s="1"/>
    </row>
    <row r="12" ht="21" customHeight="1" spans="1:21" x14ac:dyDescent="0.25">
      <c r="A12" s="32" t="s">
        <v>9</v>
      </c>
      <c r="B12" s="33" t="s">
        <v>10</v>
      </c>
      <c r="C12" s="34" t="s">
        <v>11</v>
      </c>
      <c r="D12" s="32" t="s">
        <v>12</v>
      </c>
      <c r="E12" s="35" t="s">
        <v>13</v>
      </c>
      <c r="F12" s="36"/>
      <c r="G12" s="36"/>
      <c r="H12" s="36"/>
      <c r="I12" s="36"/>
      <c r="J12" s="36"/>
      <c r="K12" s="36"/>
      <c r="L12" s="36"/>
      <c r="M12" s="36"/>
      <c r="N12" s="36"/>
      <c r="O12" s="37"/>
      <c r="P12" s="32" t="s">
        <v>14</v>
      </c>
      <c r="Q12" s="32" t="s">
        <v>15</v>
      </c>
      <c r="R12" s="32" t="s">
        <v>16</v>
      </c>
      <c r="S12" s="32" t="s">
        <v>17</v>
      </c>
      <c r="T12" s="38"/>
      <c r="U12" s="16"/>
    </row>
    <row r="13" ht="15.75" customHeight="1" spans="1:21" x14ac:dyDescent="0.25">
      <c r="A13" s="39"/>
      <c r="B13" s="40"/>
      <c r="C13" s="41"/>
      <c r="D13" s="39"/>
      <c r="E13" s="42" t="s">
        <v>18</v>
      </c>
      <c r="F13" s="42" t="s">
        <v>19</v>
      </c>
      <c r="G13" s="42"/>
      <c r="H13" s="42"/>
      <c r="I13" s="42"/>
      <c r="J13" s="42"/>
      <c r="K13" s="42"/>
      <c r="L13" s="42"/>
      <c r="M13" s="42"/>
      <c r="N13" s="42"/>
      <c r="O13" s="32" t="s">
        <v>20</v>
      </c>
      <c r="P13" s="39"/>
      <c r="Q13" s="39"/>
      <c r="R13" s="43"/>
      <c r="S13" s="39"/>
      <c r="T13" s="38"/>
      <c r="U13" s="16"/>
    </row>
    <row r="14" ht="34" customHeight="1" spans="1:22" x14ac:dyDescent="0.25">
      <c r="A14" s="43"/>
      <c r="B14" s="44"/>
      <c r="C14" s="45"/>
      <c r="D14" s="43"/>
      <c r="E14" s="46"/>
      <c r="F14" s="46"/>
      <c r="G14" s="46"/>
      <c r="H14" s="46"/>
      <c r="I14" s="46"/>
      <c r="J14" s="46"/>
      <c r="K14" s="46"/>
      <c r="L14" s="46"/>
      <c r="M14" s="46"/>
      <c r="N14" s="46"/>
      <c r="O14" s="43"/>
      <c r="P14" s="43"/>
      <c r="Q14" s="43"/>
      <c r="R14" s="47" t="s">
        <v>21</v>
      </c>
      <c r="S14" s="43"/>
      <c r="T14" s="38"/>
      <c r="U14" s="16"/>
      <c r="V14" s="2" t="s">
        <v>22</v>
      </c>
    </row>
    <row r="15" ht="31.5" customHeight="1" spans="1:21" x14ac:dyDescent="0.25">
      <c r="A15" s="48" t="s">
        <v>23</v>
      </c>
      <c r="B15" s="49"/>
      <c r="C15" s="50" t="s">
        <v>24</v>
      </c>
      <c r="D15" s="48">
        <v>1</v>
      </c>
      <c r="E15" s="48">
        <v>2</v>
      </c>
      <c r="F15" s="48">
        <v>3</v>
      </c>
      <c r="G15" s="48"/>
      <c r="H15" s="48"/>
      <c r="I15" s="48"/>
      <c r="J15" s="48"/>
      <c r="K15" s="48"/>
      <c r="L15" s="48"/>
      <c r="M15" s="48"/>
      <c r="N15" s="48"/>
      <c r="O15" s="48">
        <v>4</v>
      </c>
      <c r="P15" s="48"/>
      <c r="Q15" s="48" t="s">
        <v>25</v>
      </c>
      <c r="R15" s="49" t="s">
        <v>26</v>
      </c>
      <c r="S15" s="48" t="s">
        <v>27</v>
      </c>
      <c r="T15" s="38"/>
      <c r="U15" s="16"/>
    </row>
    <row r="16" ht="31.5" customHeight="1" spans="1:21" x14ac:dyDescent="0.25">
      <c r="A16" s="48" t="s">
        <v>23</v>
      </c>
      <c r="B16" s="49"/>
      <c r="C16" s="51" t="s">
        <v>28</v>
      </c>
      <c r="D16" s="48"/>
      <c r="E16" s="52"/>
      <c r="F16" s="52"/>
      <c r="G16" s="52"/>
      <c r="H16" s="52"/>
      <c r="I16" s="52"/>
      <c r="J16" s="52"/>
      <c r="K16" s="52"/>
      <c r="L16" s="52"/>
      <c r="M16" s="52"/>
      <c r="N16" s="52"/>
      <c r="O16" s="47"/>
      <c r="P16" s="47"/>
      <c r="Q16" s="53" t="s">
        <v>29</v>
      </c>
      <c r="R16" s="48"/>
      <c r="S16" s="54"/>
      <c r="T16" s="12"/>
      <c r="U16" s="16"/>
    </row>
    <row r="17" ht="31.5" customHeight="1" spans="1:21" x14ac:dyDescent="0.25">
      <c r="A17" s="48" t="s">
        <v>30</v>
      </c>
      <c r="B17" s="49"/>
      <c r="C17" s="51" t="s">
        <v>31</v>
      </c>
      <c r="D17" s="48"/>
      <c r="E17" s="52"/>
      <c r="F17" s="52"/>
      <c r="G17" s="55" t="s">
        <v>32</v>
      </c>
      <c r="H17" s="55" t="s">
        <v>33</v>
      </c>
      <c r="I17" s="55" t="s">
        <v>34</v>
      </c>
      <c r="J17" s="55" t="s">
        <v>35</v>
      </c>
      <c r="K17" s="55" t="s">
        <v>36</v>
      </c>
      <c r="L17" s="55" t="s">
        <v>37</v>
      </c>
      <c r="M17" s="55" t="s">
        <v>38</v>
      </c>
      <c r="N17" s="55" t="s">
        <v>39</v>
      </c>
      <c r="O17" s="47"/>
      <c r="P17" s="47"/>
      <c r="Q17" s="53"/>
      <c r="R17" s="48"/>
      <c r="S17" s="54"/>
      <c r="T17" s="12"/>
      <c r="U17" s="16"/>
    </row>
    <row r="18" ht="87.75" customHeight="1" spans="1:26" x14ac:dyDescent="0.25">
      <c r="A18" s="47">
        <v>1</v>
      </c>
      <c r="B18" s="56" t="s">
        <v>40</v>
      </c>
      <c r="C18" s="57" t="str">
        <f>VLOOKUP($B18,[1]Sheet1!$F$5:$G$69270,2,0)</f>
        <v>LƯƠNG THỊ VÂN</v>
      </c>
      <c r="D18" s="47" t="str">
        <f>VLOOKUP($B18,'[2]Số sổ BHXH T05'!$B$11:$K$11515,4,0)</f>
        <v>2420204316</v>
      </c>
      <c r="E18" s="58">
        <v>45978</v>
      </c>
      <c r="F18" s="58">
        <v>45978</v>
      </c>
      <c r="G18" s="59">
        <f t="shared" ref="G18:G21" si="0">SUMPRODUCT(--(WEEKDAY(ROW(INDIRECT($E18:$E36&amp;":"&amp;$F18:$F33)),1)=1))</f>
        <v>0</v>
      </c>
      <c r="H18" s="59">
        <f t="shared" ref="H18:H21" si="1">SUMPRODUCT(--(WEEKDAY(ROW(INDIRECT($E18:$E36&amp;":"&amp;$F18:$F33)),1)=2))</f>
        <v>1</v>
      </c>
      <c r="I18" s="59">
        <f t="shared" ref="I18:I21" si="2">SUMPRODUCT(--(WEEKDAY(ROW(INDIRECT($E18:$E36&amp;":"&amp;$F18:$F33)),1)=3))</f>
        <v>0</v>
      </c>
      <c r="J18" s="59">
        <f t="shared" ref="J18:J21" si="3">SUMPRODUCT(--(WEEKDAY(ROW(INDIRECT($E18:$E36&amp;":"&amp;$F18:$F33)),1)=4))</f>
        <v>0</v>
      </c>
      <c r="K18" s="59">
        <f t="shared" ref="K18:K21" si="4">SUMPRODUCT(--(WEEKDAY(ROW(INDIRECT($E18:$E36&amp;":"&amp;$F18:$F33)),1)=5))</f>
        <v>0</v>
      </c>
      <c r="L18" s="59">
        <f t="shared" ref="L18:L21" si="5">SUMPRODUCT(--(WEEKDAY(ROW(INDIRECT($E18:$E36&amp;":"&amp;$F18:$F33)),1)=6))</f>
        <v>0</v>
      </c>
      <c r="M18" s="59">
        <f t="shared" ref="M18:M21" si="6">SUMPRODUCT(--(WEEKDAY(ROW(INDIRECT($E18:$E36&amp;":"&amp;$F18:$F33)),1)=7))</f>
        <v>0</v>
      </c>
      <c r="N18" s="59">
        <f t="shared" ref="N18:N49" si="7">SUM(H18:M18)</f>
        <v>1</v>
      </c>
      <c r="O18" s="47">
        <f>F18-E18+1</f>
        <v>1</v>
      </c>
      <c r="P18" s="47"/>
      <c r="Q18" s="60" t="str">
        <f>VLOOKUP($B18,'[2]T01.2025'!C3:F7356,4,0)</f>
        <v>1048128424</v>
      </c>
      <c r="R18" s="60"/>
      <c r="S18" s="61" t="s">
        <v>41</v>
      </c>
      <c r="T18" s="8" t="s">
        <v>42</v>
      </c>
      <c r="U18" s="1" t="s">
        <v>43</v>
      </c>
      <c r="W18" s="2"/>
      <c r="Z18" s="60" t="str">
        <f>VLOOKUP($B18,'[2]Số sổ BHXH T05'!$B$11:$K$11515,10,0)</f>
        <v>Công nhân kiểm tra chất lượng</v>
      </c>
    </row>
    <row r="19" ht="47.25" customHeight="1" spans="1:26" x14ac:dyDescent="0.25">
      <c r="A19" s="47">
        <v>2</v>
      </c>
      <c r="B19" s="56" t="s">
        <v>44</v>
      </c>
      <c r="C19" s="57" t="str">
        <f>VLOOKUP($B19,[1]Sheet1!$F$5:$G$69270,2,0)</f>
        <v>NGUYỄN VĂN LỤC</v>
      </c>
      <c r="D19" s="47" t="str">
        <f>VLOOKUP($B19,'[2]Số sổ BHXH T05'!$B$11:$K$11515,4,0)</f>
        <v>2409001224</v>
      </c>
      <c r="E19" s="58">
        <v>45978</v>
      </c>
      <c r="F19" s="58">
        <v>45978</v>
      </c>
      <c r="G19" s="59">
        <f t="shared" si="0"/>
        <v>0</v>
      </c>
      <c r="H19" s="59">
        <f t="shared" si="1"/>
        <v>1</v>
      </c>
      <c r="I19" s="59">
        <f t="shared" si="2"/>
        <v>0</v>
      </c>
      <c r="J19" s="59">
        <f t="shared" si="3"/>
        <v>0</v>
      </c>
      <c r="K19" s="59">
        <f t="shared" si="4"/>
        <v>0</v>
      </c>
      <c r="L19" s="59">
        <f t="shared" si="5"/>
        <v>0</v>
      </c>
      <c r="M19" s="59">
        <f t="shared" si="6"/>
        <v>0</v>
      </c>
      <c r="N19" s="59">
        <f t="shared" si="7"/>
        <v>1</v>
      </c>
      <c r="O19" s="47">
        <f t="shared" ref="O19:O49" si="8">F19-E19+1</f>
        <v>1</v>
      </c>
      <c r="P19" s="47"/>
      <c r="Q19" s="60" t="str">
        <f>VLOOKUP($B19,'[2]T01.2025'!C4:F7357,4,0)</f>
        <v>0731000604277</v>
      </c>
      <c r="R19" s="60"/>
      <c r="S19" s="61"/>
      <c r="T19" s="8" t="s">
        <v>42</v>
      </c>
      <c r="U19" s="1" t="s">
        <v>43</v>
      </c>
      <c r="W19" s="2"/>
      <c r="Z19" s="60" t="str">
        <f>VLOOKUP($B19,'[2]Số sổ BHXH T05'!$B$11:$K$11515,10,0)</f>
        <v>Công nhân vận hành máy may công nghiệp</v>
      </c>
    </row>
    <row r="20" ht="47.25" customHeight="1" spans="1:26" x14ac:dyDescent="0.25">
      <c r="A20" s="47">
        <v>3</v>
      </c>
      <c r="B20" s="56" t="s">
        <v>45</v>
      </c>
      <c r="C20" s="57" t="str">
        <f>VLOOKUP($B20,[1]Sheet1!$F$5:$G$69270,2,0)</f>
        <v>NGÔ THỊ ĐIỆP</v>
      </c>
      <c r="D20" s="47" t="str">
        <f>VLOOKUP($B20,'[2]Số sổ BHXH T05'!$B$11:$K$11515,4,0)</f>
        <v>2708000528</v>
      </c>
      <c r="E20" s="58">
        <v>45978</v>
      </c>
      <c r="F20" s="58">
        <v>45978</v>
      </c>
      <c r="G20" s="59">
        <f t="shared" si="0"/>
        <v>0</v>
      </c>
      <c r="H20" s="59">
        <f t="shared" si="1"/>
        <v>1</v>
      </c>
      <c r="I20" s="59">
        <f t="shared" si="2"/>
        <v>0</v>
      </c>
      <c r="J20" s="59">
        <f t="shared" si="3"/>
        <v>0</v>
      </c>
      <c r="K20" s="59">
        <f t="shared" si="4"/>
        <v>0</v>
      </c>
      <c r="L20" s="59">
        <f t="shared" si="5"/>
        <v>0</v>
      </c>
      <c r="M20" s="59">
        <f t="shared" si="6"/>
        <v>0</v>
      </c>
      <c r="N20" s="59">
        <f t="shared" si="7"/>
        <v>1</v>
      </c>
      <c r="O20" s="47">
        <f t="shared" si="8"/>
        <v>1</v>
      </c>
      <c r="P20" s="47"/>
      <c r="Q20" s="60" t="str">
        <f>VLOOKUP($B20,'[2]T01.2025'!C5:F7358,4,0)</f>
        <v>1047440172</v>
      </c>
      <c r="R20" s="60"/>
      <c r="S20" s="61"/>
      <c r="T20" s="8" t="s">
        <v>42</v>
      </c>
      <c r="U20" s="1" t="s">
        <v>43</v>
      </c>
      <c r="W20" s="2"/>
      <c r="Z20" s="60" t="str">
        <f>VLOOKUP($B20,'[2]Số sổ BHXH T05'!$B$11:$K$11515,10,0)</f>
        <v>Giám sát bộ phận May</v>
      </c>
    </row>
    <row r="21" ht="60.75" customHeight="1" spans="1:26" x14ac:dyDescent="0.25">
      <c r="A21" s="47">
        <v>4</v>
      </c>
      <c r="B21" s="56" t="s">
        <v>46</v>
      </c>
      <c r="C21" s="57" t="str">
        <f>VLOOKUP($B21,[1]Sheet1!$F$5:$G$69270,2,0)</f>
        <v>LÝ THỊ HOA</v>
      </c>
      <c r="D21" s="47" t="str">
        <f>VLOOKUP($B21,'[2]Số sổ BHXH T05'!$B$11:$K$11515,4,0)</f>
        <v>2714067961</v>
      </c>
      <c r="E21" s="58">
        <v>45971</v>
      </c>
      <c r="F21" s="58">
        <v>45971</v>
      </c>
      <c r="G21" s="59">
        <f t="shared" si="0"/>
        <v>0</v>
      </c>
      <c r="H21" s="59">
        <f t="shared" si="1"/>
        <v>1</v>
      </c>
      <c r="I21" s="59">
        <f t="shared" si="2"/>
        <v>0</v>
      </c>
      <c r="J21" s="59">
        <f t="shared" si="3"/>
        <v>0</v>
      </c>
      <c r="K21" s="59">
        <f t="shared" si="4"/>
        <v>0</v>
      </c>
      <c r="L21" s="59">
        <f t="shared" si="5"/>
        <v>0</v>
      </c>
      <c r="M21" s="59">
        <f t="shared" si="6"/>
        <v>0</v>
      </c>
      <c r="N21" s="59">
        <f t="shared" si="7"/>
        <v>1</v>
      </c>
      <c r="O21" s="47">
        <f t="shared" si="8"/>
        <v>1</v>
      </c>
      <c r="P21" s="47"/>
      <c r="Q21" s="60" t="str">
        <f>VLOOKUP($B21,'[2]T01.2025'!C6:F7359,4,0)</f>
        <v>0351001120207</v>
      </c>
      <c r="R21" s="60"/>
      <c r="S21" s="61"/>
      <c r="T21" s="8" t="s">
        <v>42</v>
      </c>
      <c r="U21" s="1" t="s">
        <v>43</v>
      </c>
      <c r="W21" s="2"/>
      <c r="Z21" s="60" t="str">
        <f>VLOOKUP($B21,'[2]Số sổ BHXH T05'!$B$11:$K$11515,10,0)</f>
        <v>Công nhân đóng gói</v>
      </c>
    </row>
    <row r="22" ht="27.75" customHeight="1" spans="1:26" x14ac:dyDescent="0.25">
      <c r="A22" s="47">
        <v>5</v>
      </c>
      <c r="B22" s="56" t="s">
        <v>47</v>
      </c>
      <c r="C22" s="57" t="str">
        <f>VLOOKUP($B22,[1]Sheet1!$F$5:$G$69270,2,0)</f>
        <v>LƯU VĂN SƠN</v>
      </c>
      <c r="D22" s="47" t="str">
        <f>VLOOKUP($B22,'[2]Số sổ BHXH T05'!$B$11:$K$11515,4,0)</f>
        <v>2416049326</v>
      </c>
      <c r="E22" s="58">
        <v>45979</v>
      </c>
      <c r="F22" s="58">
        <v>45988</v>
      </c>
      <c r="G22" s="59">
        <f>SUMPRODUCT(--(WEEKDAY(ROW(INDIRECT($E22:$E45&amp;":"&amp;$F22:$F37)),1)=1))</f>
        <v>1</v>
      </c>
      <c r="H22" s="59">
        <f>SUMPRODUCT(--(WEEKDAY(ROW(INDIRECT($E22:$E45&amp;":"&amp;$F22:$F37)),1)=2))</f>
        <v>1</v>
      </c>
      <c r="I22" s="59">
        <f>SUMPRODUCT(--(WEEKDAY(ROW(INDIRECT($E22:$E45&amp;":"&amp;$F22:$F37)),1)=3))</f>
        <v>2</v>
      </c>
      <c r="J22" s="59">
        <f>SUMPRODUCT(--(WEEKDAY(ROW(INDIRECT($E22:$E45&amp;":"&amp;$F22:$F37)),1)=4))</f>
        <v>2</v>
      </c>
      <c r="K22" s="59">
        <f>SUMPRODUCT(--(WEEKDAY(ROW(INDIRECT($E22:$E45&amp;":"&amp;$F22:$F37)),1)=5))</f>
        <v>2</v>
      </c>
      <c r="L22" s="59">
        <f>SUMPRODUCT(--(WEEKDAY(ROW(INDIRECT($E22:$E45&amp;":"&amp;$F22:$F37)),1)=6))</f>
        <v>1</v>
      </c>
      <c r="M22" s="59">
        <f>SUMPRODUCT(--(WEEKDAY(ROW(INDIRECT($E22:$E45&amp;":"&amp;$F22:$F37)),1)=7))</f>
        <v>1</v>
      </c>
      <c r="N22" s="59">
        <f t="shared" si="7"/>
        <v>9</v>
      </c>
      <c r="O22" s="47">
        <f t="shared" si="8"/>
        <v>10</v>
      </c>
      <c r="P22" s="47"/>
      <c r="Q22" s="60" t="str">
        <f>VLOOKUP($B22,'[2]T01.2025'!C7:F7360,4,0)</f>
        <v>0731000823299</v>
      </c>
      <c r="R22" s="60"/>
      <c r="S22" s="61"/>
      <c r="T22" s="8" t="s">
        <v>42</v>
      </c>
      <c r="U22" s="1" t="s">
        <v>43</v>
      </c>
      <c r="W22" s="2"/>
      <c r="Z22" s="60" t="str">
        <f>VLOOKUP($B22,'[2]Số sổ BHXH T05'!$B$11:$K$11515,10,0)</f>
        <v>Công nhân vận hành máy may công nghiệp</v>
      </c>
    </row>
    <row r="23" ht="27.75" customHeight="1" spans="1:26" x14ac:dyDescent="0.25">
      <c r="A23" s="47">
        <v>6</v>
      </c>
      <c r="B23" s="56" t="s">
        <v>48</v>
      </c>
      <c r="C23" s="57" t="str">
        <f>VLOOKUP($B23,[1]Sheet1!$F$5:$G$69270,2,0)</f>
        <v>NGUYỄN THỊ NGUYỆT ANH</v>
      </c>
      <c r="D23" s="47" t="str">
        <f>VLOOKUP($B23,'[2]Số sổ BHXH T05'!$B$11:$K$11515,4,0)</f>
        <v>8407004947</v>
      </c>
      <c r="E23" s="58">
        <v>45675</v>
      </c>
      <c r="F23" s="58">
        <v>45979</v>
      </c>
      <c r="G23" s="59">
        <f>SUMPRODUCT(--(WEEKDAY(ROW(INDIRECT($E23:$E40&amp;":"&amp;$F23:$F38)),1)=1))</f>
        <v>44</v>
      </c>
      <c r="H23" s="59">
        <f>SUMPRODUCT(--(WEEKDAY(ROW(INDIRECT($E23:$E40&amp;":"&amp;$F23:$F38)),1)=2))</f>
        <v>44</v>
      </c>
      <c r="I23" s="59">
        <f>SUMPRODUCT(--(WEEKDAY(ROW(INDIRECT($E23:$E40&amp;":"&amp;$F23:$F38)),1)=3))</f>
        <v>44</v>
      </c>
      <c r="J23" s="59">
        <f>SUMPRODUCT(--(WEEKDAY(ROW(INDIRECT($E23:$E40&amp;":"&amp;$F23:$F38)),1)=4))</f>
        <v>43</v>
      </c>
      <c r="K23" s="59">
        <f>SUMPRODUCT(--(WEEKDAY(ROW(INDIRECT($E23:$E40&amp;":"&amp;$F23:$F38)),1)=5))</f>
        <v>43</v>
      </c>
      <c r="L23" s="59">
        <f>SUMPRODUCT(--(WEEKDAY(ROW(INDIRECT($E23:$E40&amp;":"&amp;$F23:$F38)),1)=6))</f>
        <v>43</v>
      </c>
      <c r="M23" s="59">
        <f>SUMPRODUCT(--(WEEKDAY(ROW(INDIRECT($E23:$E40&amp;":"&amp;$F23:$F38)),1)=7))</f>
        <v>44</v>
      </c>
      <c r="N23" s="59">
        <f t="shared" si="7"/>
        <v>261</v>
      </c>
      <c r="O23" s="47">
        <f t="shared" si="8"/>
        <v>305</v>
      </c>
      <c r="P23" s="47"/>
      <c r="Q23" s="60" t="str">
        <f>VLOOKUP($B23,'[2]T01.2025'!C8:F7361,4,0)</f>
        <v>0351001158921</v>
      </c>
      <c r="R23" s="60"/>
      <c r="S23" s="61" t="s">
        <v>49</v>
      </c>
      <c r="T23" s="8" t="s">
        <v>42</v>
      </c>
      <c r="U23" s="1" t="s">
        <v>43</v>
      </c>
      <c r="W23" s="2"/>
      <c r="Z23" s="60" t="str">
        <f>VLOOKUP($B23,'[2]Số sổ BHXH T05'!$B$11:$K$11515,10,0)</f>
        <v>Công nhân vận hành máy may công nghiệp</v>
      </c>
    </row>
    <row r="24" ht="27.75" customHeight="1" spans="1:26" x14ac:dyDescent="0.25">
      <c r="A24" s="47">
        <v>7</v>
      </c>
      <c r="B24" s="56" t="s">
        <v>50</v>
      </c>
      <c r="C24" s="57" t="str">
        <f>VLOOKUP($B24,[1]Sheet1!$F$5:$G$69270,2,0)</f>
        <v>DƯƠNG THỊ CHINH</v>
      </c>
      <c r="D24" s="47" t="str">
        <f>VLOOKUP($B24,'[2]Số sổ BHXH T05'!$B$11:$K$11515,4,0)</f>
        <v>8504005403</v>
      </c>
      <c r="E24" s="58">
        <v>45976</v>
      </c>
      <c r="F24" s="58">
        <v>45978</v>
      </c>
      <c r="G24" s="59">
        <f>SUMPRODUCT(--(WEEKDAY(ROW(INDIRECT($E24:$E41&amp;":"&amp;$F24:$F39)),1)=1))</f>
        <v>1</v>
      </c>
      <c r="H24" s="59">
        <f>SUMPRODUCT(--(WEEKDAY(ROW(INDIRECT($E24:$E41&amp;":"&amp;$F24:$F39)),1)=2))</f>
        <v>1</v>
      </c>
      <c r="I24" s="59">
        <f>SUMPRODUCT(--(WEEKDAY(ROW(INDIRECT($E24:$E41&amp;":"&amp;$F24:$F39)),1)=3))</f>
        <v>0</v>
      </c>
      <c r="J24" s="59">
        <f>SUMPRODUCT(--(WEEKDAY(ROW(INDIRECT($E24:$E41&amp;":"&amp;$F24:$F39)),1)=4))</f>
        <v>0</v>
      </c>
      <c r="K24" s="59">
        <f>SUMPRODUCT(--(WEEKDAY(ROW(INDIRECT($E24:$E41&amp;":"&amp;$F24:$F39)),1)=5))</f>
        <v>0</v>
      </c>
      <c r="L24" s="59">
        <f>SUMPRODUCT(--(WEEKDAY(ROW(INDIRECT($E24:$E41&amp;":"&amp;$F24:$F39)),1)=6))</f>
        <v>0</v>
      </c>
      <c r="M24" s="59">
        <f>SUMPRODUCT(--(WEEKDAY(ROW(INDIRECT($E24:$E41&amp;":"&amp;$F24:$F39)),1)=7))</f>
        <v>1</v>
      </c>
      <c r="N24" s="59">
        <f t="shared" si="7"/>
        <v>2</v>
      </c>
      <c r="O24" s="47">
        <f t="shared" si="8"/>
        <v>3</v>
      </c>
      <c r="P24" s="47"/>
      <c r="Q24" s="60" t="str">
        <f>VLOOKUP($B24,'[2]T01.2025'!C9:F7362,4,0)</f>
        <v>0351000710969</v>
      </c>
      <c r="R24" s="60"/>
      <c r="S24" s="61"/>
      <c r="T24" s="8" t="s">
        <v>42</v>
      </c>
      <c r="U24" s="1" t="s">
        <v>43</v>
      </c>
      <c r="W24" s="2"/>
      <c r="Z24" s="60" t="str">
        <f>VLOOKUP($B24,'[2]Số sổ BHXH T05'!$B$11:$K$11515,10,0)</f>
        <v>Công nhân vận hành máy may công nghiệp</v>
      </c>
    </row>
    <row r="25" ht="27.75" customHeight="1" spans="1:26" x14ac:dyDescent="0.25">
      <c r="A25" s="47">
        <v>8</v>
      </c>
      <c r="B25" s="56" t="s">
        <v>51</v>
      </c>
      <c r="C25" s="57" t="str">
        <f>VLOOKUP($B25,[1]Sheet1!$F$5:$G$69270,2,0)</f>
        <v>CHU THÚC CƯƠNG</v>
      </c>
      <c r="D25" s="47" t="str">
        <f>VLOOKUP($B25,'[2]Số sổ BHXH T05'!$B$11:$K$11515,4,0)</f>
        <v>2422223215</v>
      </c>
      <c r="E25" s="58">
        <v>45972</v>
      </c>
      <c r="F25" s="58">
        <v>45976</v>
      </c>
      <c r="G25" s="59">
        <f>SUMPRODUCT(--(WEEKDAY(ROW(INDIRECT($E25:$E42&amp;":"&amp;$F25:$F45)),1)=1))</f>
        <v>0</v>
      </c>
      <c r="H25" s="59">
        <f>SUMPRODUCT(--(WEEKDAY(ROW(INDIRECT($E25:$E42&amp;":"&amp;$F25:$F45)),1)=2))</f>
        <v>0</v>
      </c>
      <c r="I25" s="59">
        <f>SUMPRODUCT(--(WEEKDAY(ROW(INDIRECT($E25:$E42&amp;":"&amp;$F25:$F45)),1)=3))</f>
        <v>1</v>
      </c>
      <c r="J25" s="59">
        <f>SUMPRODUCT(--(WEEKDAY(ROW(INDIRECT($E25:$E42&amp;":"&amp;$F25:$F45)),1)=4))</f>
        <v>1</v>
      </c>
      <c r="K25" s="59">
        <f>SUMPRODUCT(--(WEEKDAY(ROW(INDIRECT($E25:$E42&amp;":"&amp;$F25:$F45)),1)=5))</f>
        <v>1</v>
      </c>
      <c r="L25" s="59">
        <f>SUMPRODUCT(--(WEEKDAY(ROW(INDIRECT($E25:$E42&amp;":"&amp;$F25:$F45)),1)=6))</f>
        <v>1</v>
      </c>
      <c r="M25" s="59">
        <f>SUMPRODUCT(--(WEEKDAY(ROW(INDIRECT($E25:$E42&amp;":"&amp;$F25:$F45)),1)=7))</f>
        <v>1</v>
      </c>
      <c r="N25" s="59">
        <f t="shared" si="7"/>
        <v>5</v>
      </c>
      <c r="O25" s="47">
        <f t="shared" si="8"/>
        <v>5</v>
      </c>
      <c r="P25" s="47"/>
      <c r="Q25" s="60" t="str">
        <f>VLOOKUP($B25,'[2]T01.2025'!C10:F7363,4,0)</f>
        <v>0351001143217</v>
      </c>
      <c r="R25" s="60"/>
      <c r="S25" s="61"/>
      <c r="T25" s="8" t="s">
        <v>42</v>
      </c>
      <c r="U25" s="1" t="s">
        <v>43</v>
      </c>
      <c r="W25" s="2"/>
      <c r="Z25" s="60" t="str">
        <f>VLOOKUP($B25,'[2]Số sổ BHXH T05'!$B$11:$K$11515,10,0)</f>
        <v>Công nhân đo đếm vải</v>
      </c>
    </row>
    <row r="26" ht="48" customHeight="1" spans="1:26" x14ac:dyDescent="0.25">
      <c r="A26" s="47">
        <v>9</v>
      </c>
      <c r="B26" s="56" t="s">
        <v>52</v>
      </c>
      <c r="C26" s="57" t="str">
        <f>VLOOKUP($B26,[1]Sheet1!$F$5:$G$69270,2,0)</f>
        <v>VŨ HUY BÌNH</v>
      </c>
      <c r="D26" s="47" t="str">
        <f>VLOOKUP($B26,'[2]Số sổ BHXH T05'!$B$11:$K$11515,4,0)</f>
        <v>2416004272</v>
      </c>
      <c r="E26" s="58">
        <v>45975</v>
      </c>
      <c r="F26" s="58">
        <v>45976</v>
      </c>
      <c r="G26" s="59">
        <f>SUMPRODUCT(--(WEEKDAY(ROW(INDIRECT($E26:$E46&amp;":"&amp;$F26:$F40)),1)=1))</f>
        <v>0</v>
      </c>
      <c r="H26" s="59">
        <f>SUMPRODUCT(--(WEEKDAY(ROW(INDIRECT($E26:$E46&amp;":"&amp;$F26:$F40)),1)=2))</f>
        <v>0</v>
      </c>
      <c r="I26" s="59">
        <f>SUMPRODUCT(--(WEEKDAY(ROW(INDIRECT($E26:$E46&amp;":"&amp;$F26:$F40)),1)=3))</f>
        <v>0</v>
      </c>
      <c r="J26" s="59">
        <f>SUMPRODUCT(--(WEEKDAY(ROW(INDIRECT($E26:$E46&amp;":"&amp;$F26:$F40)),1)=4))</f>
        <v>0</v>
      </c>
      <c r="K26" s="59">
        <f>SUMPRODUCT(--(WEEKDAY(ROW(INDIRECT($E26:$E46&amp;":"&amp;$F26:$F40)),1)=5))</f>
        <v>0</v>
      </c>
      <c r="L26" s="59">
        <f>SUMPRODUCT(--(WEEKDAY(ROW(INDIRECT($E26:$E46&amp;":"&amp;$F26:$F40)),1)=6))</f>
        <v>1</v>
      </c>
      <c r="M26" s="59">
        <f>SUMPRODUCT(--(WEEKDAY(ROW(INDIRECT($E26:$E46&amp;":"&amp;$F26:$F40)),1)=7))</f>
        <v>1</v>
      </c>
      <c r="N26" s="59">
        <f t="shared" si="7"/>
        <v>2</v>
      </c>
      <c r="O26" s="47">
        <f t="shared" si="8"/>
        <v>2</v>
      </c>
      <c r="P26" s="47"/>
      <c r="Q26" s="60" t="str">
        <f>VLOOKUP($B26,'[2]T01.2025'!C11:F7364,4,0)</f>
        <v>0351000934395</v>
      </c>
      <c r="R26" s="60"/>
      <c r="S26" s="61"/>
      <c r="T26" s="8" t="s">
        <v>42</v>
      </c>
      <c r="U26" s="1" t="s">
        <v>43</v>
      </c>
      <c r="W26" s="2"/>
      <c r="Z26" s="60" t="str">
        <f>VLOOKUP($B26,'[2]Số sổ BHXH T05'!$B$11:$K$11515,10,0)</f>
        <v>Công nhân cắt phá, cắt gọt</v>
      </c>
    </row>
    <row r="27" ht="52.5" customHeight="1" spans="1:26" x14ac:dyDescent="0.25">
      <c r="A27" s="47">
        <v>10</v>
      </c>
      <c r="B27" s="56" t="s">
        <v>53</v>
      </c>
      <c r="C27" s="57" t="str">
        <f>VLOOKUP($B27,[1]Sheet1!$F$5:$G$69270,2,0)</f>
        <v>DƯƠNG VĂN ĐỨC</v>
      </c>
      <c r="D27" s="47" t="str">
        <f>VLOOKUP($B27,'[2]Số sổ BHXH T05'!$B$11:$K$11515,4,0)</f>
        <v>1921174349</v>
      </c>
      <c r="E27" s="58">
        <v>45980</v>
      </c>
      <c r="F27" s="58">
        <v>45981</v>
      </c>
      <c r="G27" s="59">
        <f>SUMPRODUCT(--(WEEKDAY(ROW(INDIRECT($E27:$E43&amp;":"&amp;$F27:$F41)),1)=1))</f>
        <v>0</v>
      </c>
      <c r="H27" s="59">
        <f>SUMPRODUCT(--(WEEKDAY(ROW(INDIRECT($E27:$E43&amp;":"&amp;$F27:$F41)),1)=2))</f>
        <v>0</v>
      </c>
      <c r="I27" s="59">
        <f>SUMPRODUCT(--(WEEKDAY(ROW(INDIRECT($E27:$E43&amp;":"&amp;$F27:$F41)),1)=3))</f>
        <v>0</v>
      </c>
      <c r="J27" s="59">
        <f>SUMPRODUCT(--(WEEKDAY(ROW(INDIRECT($E27:$E43&amp;":"&amp;$F27:$F41)),1)=4))</f>
        <v>1</v>
      </c>
      <c r="K27" s="59">
        <f>SUMPRODUCT(--(WEEKDAY(ROW(INDIRECT($E27:$E43&amp;":"&amp;$F27:$F41)),1)=5))</f>
        <v>1</v>
      </c>
      <c r="L27" s="59">
        <f>SUMPRODUCT(--(WEEKDAY(ROW(INDIRECT($E27:$E43&amp;":"&amp;$F27:$F41)),1)=6))</f>
        <v>0</v>
      </c>
      <c r="M27" s="59">
        <f>SUMPRODUCT(--(WEEKDAY(ROW(INDIRECT($E27:$E43&amp;":"&amp;$F27:$F41)),1)=7))</f>
        <v>0</v>
      </c>
      <c r="N27" s="59">
        <f t="shared" si="7"/>
        <v>2</v>
      </c>
      <c r="O27" s="47">
        <f t="shared" si="8"/>
        <v>2</v>
      </c>
      <c r="P27" s="47"/>
      <c r="Q27" s="60" t="str">
        <f>VLOOKUP($B27,'[2]T01.2025'!C12:F7365,4,0)</f>
        <v>1023182465</v>
      </c>
      <c r="R27" s="60"/>
      <c r="S27" s="61"/>
      <c r="T27" s="8" t="s">
        <v>42</v>
      </c>
      <c r="U27" s="1" t="s">
        <v>43</v>
      </c>
      <c r="W27" s="2"/>
      <c r="Z27" s="60" t="str">
        <f>VLOOKUP($B27,'[2]Số sổ BHXH T05'!$B$11:$K$11515,10,0)</f>
        <v>Công nhân đóng gói</v>
      </c>
    </row>
    <row r="28" ht="27.75" customHeight="1" spans="1:26" x14ac:dyDescent="0.25">
      <c r="A28" s="47">
        <v>11</v>
      </c>
      <c r="B28" s="56" t="s">
        <v>54</v>
      </c>
      <c r="C28" s="57" t="str">
        <f>VLOOKUP($B28,[1]Sheet1!$F$5:$G$69270,2,0)</f>
        <v>GIÁP THỊ LAN ANH</v>
      </c>
      <c r="D28" s="47" t="str">
        <f>VLOOKUP($B28,'[2]Số sổ BHXH T05'!$B$11:$K$11515,4,0)</f>
        <v>2416028571</v>
      </c>
      <c r="E28" s="58">
        <v>45978</v>
      </c>
      <c r="F28" s="58">
        <v>45980</v>
      </c>
      <c r="G28" s="59">
        <f>SUMPRODUCT(--(WEEKDAY(ROW(INDIRECT($E28:$E44&amp;":"&amp;$F28:$F42)),1)=1))</f>
        <v>0</v>
      </c>
      <c r="H28" s="59">
        <f>SUMPRODUCT(--(WEEKDAY(ROW(INDIRECT($E28:$E44&amp;":"&amp;$F28:$F42)),1)=2))</f>
        <v>1</v>
      </c>
      <c r="I28" s="59">
        <f>SUMPRODUCT(--(WEEKDAY(ROW(INDIRECT($E28:$E44&amp;":"&amp;$F28:$F42)),1)=3))</f>
        <v>1</v>
      </c>
      <c r="J28" s="59">
        <f>SUMPRODUCT(--(WEEKDAY(ROW(INDIRECT($E28:$E44&amp;":"&amp;$F28:$F42)),1)=4))</f>
        <v>1</v>
      </c>
      <c r="K28" s="59">
        <f>SUMPRODUCT(--(WEEKDAY(ROW(INDIRECT($E28:$E44&amp;":"&amp;$F28:$F42)),1)=5))</f>
        <v>0</v>
      </c>
      <c r="L28" s="59">
        <f>SUMPRODUCT(--(WEEKDAY(ROW(INDIRECT($E28:$E44&amp;":"&amp;$F28:$F42)),1)=6))</f>
        <v>0</v>
      </c>
      <c r="M28" s="59">
        <f>SUMPRODUCT(--(WEEKDAY(ROW(INDIRECT($E28:$E44&amp;":"&amp;$F28:$F42)),1)=7))</f>
        <v>0</v>
      </c>
      <c r="N28" s="59">
        <f t="shared" si="7"/>
        <v>3</v>
      </c>
      <c r="O28" s="47">
        <f t="shared" si="8"/>
        <v>3</v>
      </c>
      <c r="P28" s="47"/>
      <c r="Q28" s="60" t="str">
        <f>VLOOKUP($B28,'[2]T01.2025'!C13:F7366,4,0)</f>
        <v>9964715289</v>
      </c>
      <c r="R28" s="60"/>
      <c r="S28" s="61"/>
      <c r="T28" s="8" t="s">
        <v>42</v>
      </c>
      <c r="U28" s="1" t="s">
        <v>43</v>
      </c>
      <c r="W28" s="2"/>
      <c r="Z28" s="60" t="str">
        <f>VLOOKUP($B28,'[2]Số sổ BHXH T05'!$B$11:$K$11515,10,0)</f>
        <v>Công nhân vận hành máy may công nghiệp</v>
      </c>
    </row>
    <row r="29" ht="54" customHeight="1" spans="1:26" x14ac:dyDescent="0.25">
      <c r="A29" s="47">
        <v>12</v>
      </c>
      <c r="B29" s="56" t="s">
        <v>55</v>
      </c>
      <c r="C29" s="57" t="str">
        <f>VLOOKUP($B29,[1]Sheet1!$F$5:$G$69270,2,0)</f>
        <v>HOÀNG VĂN DŨNG</v>
      </c>
      <c r="D29" s="47" t="str">
        <f>VLOOKUP($B29,'[2]Số sổ BHXH T05'!$B$11:$K$11515,4,0)</f>
        <v>2422398595</v>
      </c>
      <c r="E29" s="58">
        <v>45974</v>
      </c>
      <c r="F29" s="58">
        <v>45980</v>
      </c>
      <c r="G29" s="59">
        <f>SUMPRODUCT(--(WEEKDAY(ROW(INDIRECT($E29:$E49&amp;":"&amp;$F29:$F46)),1)=1))</f>
        <v>1</v>
      </c>
      <c r="H29" s="59">
        <f>SUMPRODUCT(--(WEEKDAY(ROW(INDIRECT($E29:$E49&amp;":"&amp;$F29:$F46)),1)=2))</f>
        <v>1</v>
      </c>
      <c r="I29" s="59">
        <f>SUMPRODUCT(--(WEEKDAY(ROW(INDIRECT($E29:$E49&amp;":"&amp;$F29:$F46)),1)=3))</f>
        <v>1</v>
      </c>
      <c r="J29" s="59">
        <f>SUMPRODUCT(--(WEEKDAY(ROW(INDIRECT($E29:$E49&amp;":"&amp;$F29:$F46)),1)=4))</f>
        <v>1</v>
      </c>
      <c r="K29" s="59">
        <f>SUMPRODUCT(--(WEEKDAY(ROW(INDIRECT($E29:$E49&amp;":"&amp;$F29:$F46)),1)=5))</f>
        <v>1</v>
      </c>
      <c r="L29" s="59">
        <f>SUMPRODUCT(--(WEEKDAY(ROW(INDIRECT($E29:$E49&amp;":"&amp;$F29:$F46)),1)=6))</f>
        <v>1</v>
      </c>
      <c r="M29" s="59">
        <f>SUMPRODUCT(--(WEEKDAY(ROW(INDIRECT($E29:$E49&amp;":"&amp;$F29:$F46)),1)=7))</f>
        <v>1</v>
      </c>
      <c r="N29" s="59">
        <f t="shared" si="7"/>
        <v>6</v>
      </c>
      <c r="O29" s="47">
        <f t="shared" si="8"/>
        <v>7</v>
      </c>
      <c r="P29" s="47"/>
      <c r="Q29" s="60" t="str">
        <f>VLOOKUP($B29,'[2]T01.2025'!C14:F7367,4,0)</f>
        <v>1014667396</v>
      </c>
      <c r="R29" s="60"/>
      <c r="S29" s="61"/>
      <c r="T29" s="8" t="s">
        <v>42</v>
      </c>
      <c r="U29" s="1" t="s">
        <v>43</v>
      </c>
      <c r="W29" s="2"/>
      <c r="Z29" s="60" t="str">
        <f>VLOOKUP($B29,'[2]Số sổ BHXH T05'!$B$11:$K$11515,10,0)</f>
        <v>Công nhân vận hành máy may công nghiệp</v>
      </c>
    </row>
    <row r="30" ht="40.5" customHeight="1" spans="1:26" x14ac:dyDescent="0.25">
      <c r="A30" s="47">
        <v>13</v>
      </c>
      <c r="B30" s="56" t="s">
        <v>56</v>
      </c>
      <c r="C30" s="57" t="str">
        <f>VLOOKUP($B30,[1]Sheet1!$F$5:$G$69270,2,0)</f>
        <v>NGUYỄN THỊ THU HỒNG</v>
      </c>
      <c r="D30" s="47" t="str">
        <f>VLOOKUP($B30,'[2]Số sổ BHXH T05'!$B$11:$K$11515,4,0)</f>
        <v>2721839323</v>
      </c>
      <c r="E30" s="58">
        <v>45980</v>
      </c>
      <c r="F30" s="58">
        <v>45980</v>
      </c>
      <c r="G30" s="59">
        <f>SUMPRODUCT(--(WEEKDAY(ROW(INDIRECT($E30:$E49&amp;":"&amp;$F30:$F43)),1)=1))</f>
        <v>0</v>
      </c>
      <c r="H30" s="59">
        <f>SUMPRODUCT(--(WEEKDAY(ROW(INDIRECT($E30:$E49&amp;":"&amp;$F30:$F43)),1)=2))</f>
        <v>0</v>
      </c>
      <c r="I30" s="59">
        <f>SUMPRODUCT(--(WEEKDAY(ROW(INDIRECT($E30:$E49&amp;":"&amp;$F30:$F43)),1)=3))</f>
        <v>0</v>
      </c>
      <c r="J30" s="59">
        <f>SUMPRODUCT(--(WEEKDAY(ROW(INDIRECT($E30:$E49&amp;":"&amp;$F30:$F43)),1)=4))</f>
        <v>1</v>
      </c>
      <c r="K30" s="59">
        <f>SUMPRODUCT(--(WEEKDAY(ROW(INDIRECT($E30:$E49&amp;":"&amp;$F30:$F43)),1)=5))</f>
        <v>0</v>
      </c>
      <c r="L30" s="59">
        <f>SUMPRODUCT(--(WEEKDAY(ROW(INDIRECT($E30:$E49&amp;":"&amp;$F30:$F43)),1)=6))</f>
        <v>0</v>
      </c>
      <c r="M30" s="59">
        <f>SUMPRODUCT(--(WEEKDAY(ROW(INDIRECT($E30:$E49&amp;":"&amp;$F30:$F43)),1)=7))</f>
        <v>0</v>
      </c>
      <c r="N30" s="59">
        <f t="shared" si="7"/>
        <v>1</v>
      </c>
      <c r="O30" s="47">
        <f t="shared" si="8"/>
        <v>1</v>
      </c>
      <c r="P30" s="47"/>
      <c r="Q30" s="60" t="str">
        <f>VLOOKUP($B30,'[2]T01.2025'!C15:F7368,4,0)</f>
        <v>1023174072</v>
      </c>
      <c r="R30" s="60"/>
      <c r="S30" s="61"/>
      <c r="T30" s="8" t="s">
        <v>42</v>
      </c>
      <c r="U30" s="1" t="s">
        <v>43</v>
      </c>
      <c r="W30" s="2"/>
      <c r="Z30" s="60" t="str">
        <f>VLOOKUP($B30,'[2]Số sổ BHXH T05'!$B$11:$K$11515,10,0)</f>
        <v>Công nhân vận hành máy may công nghiệp</v>
      </c>
    </row>
    <row r="31" ht="50.25" customHeight="1" spans="1:26" x14ac:dyDescent="0.25">
      <c r="A31" s="47">
        <v>14</v>
      </c>
      <c r="B31" s="56" t="s">
        <v>57</v>
      </c>
      <c r="C31" s="57" t="str">
        <f>VLOOKUP($B31,[1]Sheet1!$F$5:$G$69270,2,0)</f>
        <v>NGUYỄN THỊ NHUNG</v>
      </c>
      <c r="D31" s="47" t="str">
        <f>VLOOKUP($B31,'[2]Số sổ BHXH T05'!$B$11:$K$11515,4,0)</f>
        <v>8406004583</v>
      </c>
      <c r="E31" s="58">
        <v>45978</v>
      </c>
      <c r="F31" s="58">
        <v>45980</v>
      </c>
      <c r="G31" s="59">
        <f>SUMPRODUCT(--(WEEKDAY(ROW(INDIRECT($E31:$E49&amp;":"&amp;$F31:$F44)),1)=1))</f>
        <v>0</v>
      </c>
      <c r="H31" s="59">
        <f>SUMPRODUCT(--(WEEKDAY(ROW(INDIRECT($E31:$E49&amp;":"&amp;$F31:$F44)),1)=2))</f>
        <v>1</v>
      </c>
      <c r="I31" s="59">
        <f>SUMPRODUCT(--(WEEKDAY(ROW(INDIRECT($E31:$E49&amp;":"&amp;$F31:$F44)),1)=3))</f>
        <v>1</v>
      </c>
      <c r="J31" s="59">
        <f>SUMPRODUCT(--(WEEKDAY(ROW(INDIRECT($E31:$E49&amp;":"&amp;$F31:$F44)),1)=4))</f>
        <v>1</v>
      </c>
      <c r="K31" s="59">
        <f>SUMPRODUCT(--(WEEKDAY(ROW(INDIRECT($E31:$E49&amp;":"&amp;$F31:$F44)),1)=5))</f>
        <v>0</v>
      </c>
      <c r="L31" s="59">
        <f>SUMPRODUCT(--(WEEKDAY(ROW(INDIRECT($E31:$E49&amp;":"&amp;$F31:$F44)),1)=6))</f>
        <v>0</v>
      </c>
      <c r="M31" s="59">
        <f>SUMPRODUCT(--(WEEKDAY(ROW(INDIRECT($E31:$E49&amp;":"&amp;$F31:$F44)),1)=7))</f>
        <v>0</v>
      </c>
      <c r="N31" s="59">
        <f t="shared" si="7"/>
        <v>3</v>
      </c>
      <c r="O31" s="47">
        <f t="shared" si="8"/>
        <v>3</v>
      </c>
      <c r="P31" s="47"/>
      <c r="Q31" s="60" t="str">
        <f>VLOOKUP($B31,'[2]T01.2025'!C16:F7369,4,0)</f>
        <v>1039063898</v>
      </c>
      <c r="R31" s="60"/>
      <c r="S31" s="61"/>
      <c r="T31" s="8" t="s">
        <v>42</v>
      </c>
      <c r="U31" s="1" t="s">
        <v>43</v>
      </c>
      <c r="W31" s="2"/>
      <c r="Z31" s="60" t="str">
        <f>VLOOKUP($B31,'[2]Số sổ BHXH T05'!$B$11:$K$11515,10,0)</f>
        <v>Công nhân vận hành máy may công nghiệp</v>
      </c>
    </row>
    <row r="32" ht="56.25" customHeight="1" spans="1:26" x14ac:dyDescent="0.25">
      <c r="A32" s="47">
        <v>15</v>
      </c>
      <c r="B32" s="56" t="s">
        <v>58</v>
      </c>
      <c r="C32" s="57" t="str">
        <f>VLOOKUP($B32,[1]Sheet1!$F$5:$G$69270,2,0)</f>
        <v>NGUYỄN TÂN MÙI</v>
      </c>
      <c r="D32" s="47" t="str">
        <f>VLOOKUP($B32,'[2]Số sổ BHXH T05'!$B$11:$K$11515,4,0)</f>
        <v>2420726842</v>
      </c>
      <c r="E32" s="58">
        <v>45980</v>
      </c>
      <c r="F32" s="58">
        <v>45980</v>
      </c>
      <c r="G32" s="59">
        <f>SUMPRODUCT(--(WEEKDAY(ROW(INDIRECT($E32:$E49&amp;":"&amp;$F32:$F49)),1)=1))</f>
        <v>0</v>
      </c>
      <c r="H32" s="59">
        <f>SUMPRODUCT(--(WEEKDAY(ROW(INDIRECT($E32:$E49&amp;":"&amp;$F32:$F49)),1)=2))</f>
        <v>0</v>
      </c>
      <c r="I32" s="59">
        <f>SUMPRODUCT(--(WEEKDAY(ROW(INDIRECT($E32:$E49&amp;":"&amp;$F32:$F49)),1)=3))</f>
        <v>0</v>
      </c>
      <c r="J32" s="59">
        <f>SUMPRODUCT(--(WEEKDAY(ROW(INDIRECT($E32:$E49&amp;":"&amp;$F32:$F49)),1)=4))</f>
        <v>1</v>
      </c>
      <c r="K32" s="59">
        <f>SUMPRODUCT(--(WEEKDAY(ROW(INDIRECT($E32:$E49&amp;":"&amp;$F32:$F49)),1)=5))</f>
        <v>0</v>
      </c>
      <c r="L32" s="59">
        <f>SUMPRODUCT(--(WEEKDAY(ROW(INDIRECT($E32:$E49&amp;":"&amp;$F32:$F49)),1)=6))</f>
        <v>0</v>
      </c>
      <c r="M32" s="59">
        <f>SUMPRODUCT(--(WEEKDAY(ROW(INDIRECT($E32:$E49&amp;":"&amp;$F32:$F49)),1)=7))</f>
        <v>0</v>
      </c>
      <c r="N32" s="59">
        <f t="shared" si="7"/>
        <v>1</v>
      </c>
      <c r="O32" s="47">
        <f t="shared" si="8"/>
        <v>1</v>
      </c>
      <c r="P32" s="47"/>
      <c r="Q32" s="60" t="str">
        <f>VLOOKUP($B32,'[2]T01.2025'!C17:F7370,4,0)</f>
        <v>1041724059</v>
      </c>
      <c r="R32" s="60"/>
      <c r="S32" s="61"/>
      <c r="T32" s="8" t="s">
        <v>42</v>
      </c>
      <c r="U32" s="1" t="s">
        <v>43</v>
      </c>
      <c r="W32" s="2"/>
      <c r="Z32" s="60" t="str">
        <f>VLOOKUP($B32,'[2]Số sổ BHXH T05'!$B$11:$K$11515,10,0)</f>
        <v>Công nhân vận hành máy may công nghiệp</v>
      </c>
    </row>
    <row r="33" ht="93" customHeight="1" spans="1:26" x14ac:dyDescent="0.25">
      <c r="A33" s="47">
        <v>16</v>
      </c>
      <c r="B33" s="56" t="s">
        <v>59</v>
      </c>
      <c r="C33" s="57" t="str">
        <f>VLOOKUP($B33,[1]Sheet1!$F$5:$G$69270,2,0)</f>
        <v>BÙI VĂN ĐỨC</v>
      </c>
      <c r="D33" s="47" t="str">
        <f>VLOOKUP($B33,'[2]Số sổ BHXH T05'!$B$11:$K$11515,4,0)</f>
        <v>2717066793</v>
      </c>
      <c r="E33" s="58">
        <v>45981</v>
      </c>
      <c r="F33" s="58">
        <v>45982</v>
      </c>
      <c r="G33" s="59">
        <f>SUMPRODUCT(--(WEEKDAY(ROW(INDIRECT($E33:$E49&amp;":"&amp;$F33:$F49)),1)=1))</f>
        <v>0</v>
      </c>
      <c r="H33" s="59">
        <f>SUMPRODUCT(--(WEEKDAY(ROW(INDIRECT($E33:$E49&amp;":"&amp;$F33:$F49)),1)=2))</f>
        <v>0</v>
      </c>
      <c r="I33" s="59">
        <f>SUMPRODUCT(--(WEEKDAY(ROW(INDIRECT($E33:$E49&amp;":"&amp;$F33:$F49)),1)=3))</f>
        <v>0</v>
      </c>
      <c r="J33" s="59">
        <f>SUMPRODUCT(--(WEEKDAY(ROW(INDIRECT($E33:$E49&amp;":"&amp;$F33:$F49)),1)=4))</f>
        <v>0</v>
      </c>
      <c r="K33" s="59">
        <f>SUMPRODUCT(--(WEEKDAY(ROW(INDIRECT($E33:$E49&amp;":"&amp;$F33:$F49)),1)=5))</f>
        <v>1</v>
      </c>
      <c r="L33" s="59">
        <f>SUMPRODUCT(--(WEEKDAY(ROW(INDIRECT($E33:$E49&amp;":"&amp;$F33:$F49)),1)=6))</f>
        <v>1</v>
      </c>
      <c r="M33" s="59">
        <f>SUMPRODUCT(--(WEEKDAY(ROW(INDIRECT($E33:$E49&amp;":"&amp;$F33:$F49)),1)=7))</f>
        <v>0</v>
      </c>
      <c r="N33" s="59">
        <f t="shared" si="7"/>
        <v>2</v>
      </c>
      <c r="O33" s="47">
        <f t="shared" si="8"/>
        <v>2</v>
      </c>
      <c r="P33" s="47"/>
      <c r="Q33" s="60" t="str">
        <f>VLOOKUP($B33,'[2]T01.2025'!C18:F7371,4,0)</f>
        <v>0351001144232</v>
      </c>
      <c r="R33" s="60"/>
      <c r="S33" s="61"/>
      <c r="T33" s="8" t="s">
        <v>42</v>
      </c>
      <c r="U33" s="1" t="s">
        <v>43</v>
      </c>
      <c r="W33" s="2"/>
      <c r="Z33" s="60" t="str">
        <f>VLOOKUP($B33,'[2]Số sổ BHXH T05'!$B$11:$K$11515,10,0)</f>
        <v>Công nhân vận hành máy may công nghiệp</v>
      </c>
    </row>
    <row r="34" ht="41.25" customHeight="1" spans="1:26" x14ac:dyDescent="0.25">
      <c r="A34" s="47">
        <v>17</v>
      </c>
      <c r="B34" s="56" t="s">
        <v>60</v>
      </c>
      <c r="C34" s="57" t="str">
        <f>VLOOKUP($B34,[1]Sheet1!$F$5:$G$69270,2,0)</f>
        <v>NGUYỄN THỊ HÀ</v>
      </c>
      <c r="D34" s="47" t="str">
        <f>VLOOKUP($B34,'[2]Số sổ BHXH T05'!$B$11:$K$11515,4,0)</f>
        <v>2416090774</v>
      </c>
      <c r="E34" s="58">
        <v>45981</v>
      </c>
      <c r="F34" s="58">
        <v>45981</v>
      </c>
      <c r="G34" s="59">
        <f>SUMPRODUCT(--(WEEKDAY(ROW(INDIRECT($E34:$E49&amp;":"&amp;$F34:$F49)),1)=1))</f>
        <v>0</v>
      </c>
      <c r="H34" s="59">
        <f>SUMPRODUCT(--(WEEKDAY(ROW(INDIRECT($E34:$E49&amp;":"&amp;$F34:$F49)),1)=2))</f>
        <v>0</v>
      </c>
      <c r="I34" s="59">
        <f>SUMPRODUCT(--(WEEKDAY(ROW(INDIRECT($E34:$E49&amp;":"&amp;$F34:$F49)),1)=3))</f>
        <v>0</v>
      </c>
      <c r="J34" s="59">
        <f>SUMPRODUCT(--(WEEKDAY(ROW(INDIRECT($E34:$E49&amp;":"&amp;$F34:$F49)),1)=4))</f>
        <v>0</v>
      </c>
      <c r="K34" s="59">
        <f>SUMPRODUCT(--(WEEKDAY(ROW(INDIRECT($E34:$E49&amp;":"&amp;$F34:$F49)),1)=5))</f>
        <v>1</v>
      </c>
      <c r="L34" s="59">
        <f>SUMPRODUCT(--(WEEKDAY(ROW(INDIRECT($E34:$E49&amp;":"&amp;$F34:$F49)),1)=6))</f>
        <v>0</v>
      </c>
      <c r="M34" s="59">
        <f>SUMPRODUCT(--(WEEKDAY(ROW(INDIRECT($E34:$E49&amp;":"&amp;$F34:$F49)),1)=7))</f>
        <v>0</v>
      </c>
      <c r="N34" s="59">
        <f t="shared" si="7"/>
        <v>1</v>
      </c>
      <c r="O34" s="47">
        <f t="shared" si="8"/>
        <v>1</v>
      </c>
      <c r="P34" s="47"/>
      <c r="Q34" s="60" t="str">
        <f>VLOOKUP($B34,'[2]T01.2025'!C19:F7372,4,0)</f>
        <v>0731000755026</v>
      </c>
      <c r="R34" s="60"/>
      <c r="S34" s="61"/>
      <c r="T34" s="8" t="s">
        <v>42</v>
      </c>
      <c r="U34" s="1" t="s">
        <v>43</v>
      </c>
      <c r="W34" s="2"/>
      <c r="Z34" s="60" t="str">
        <f>VLOOKUP($B34,'[2]Số sổ BHXH T05'!$B$11:$K$11515,10,0)</f>
        <v>Công nhân vận hành máy may công nghiệp</v>
      </c>
    </row>
    <row r="35" ht="38.25" customHeight="1" spans="1:26" x14ac:dyDescent="0.25">
      <c r="A35" s="47">
        <v>18</v>
      </c>
      <c r="B35" s="56" t="s">
        <v>61</v>
      </c>
      <c r="C35" s="57" t="str">
        <f>VLOOKUP($B35,[1]Sheet1!$F$5:$G$69270,2,0)</f>
        <v>GIÀNG THỊ NHO</v>
      </c>
      <c r="D35" s="47" t="str">
        <f>VLOOKUP($B35,'[2]Số sổ BHXH T05'!$B$11:$K$11515,4,0)</f>
        <v>1120423237</v>
      </c>
      <c r="E35" s="58">
        <v>45980</v>
      </c>
      <c r="F35" s="58">
        <v>45980</v>
      </c>
      <c r="G35" s="59">
        <f>SUMPRODUCT(--(WEEKDAY(ROW(INDIRECT($E35:$E49&amp;":"&amp;$F35:$F49)),1)=1))</f>
        <v>0</v>
      </c>
      <c r="H35" s="59">
        <f>SUMPRODUCT(--(WEEKDAY(ROW(INDIRECT($E35:$E49&amp;":"&amp;$F35:$F49)),1)=2))</f>
        <v>0</v>
      </c>
      <c r="I35" s="59">
        <f>SUMPRODUCT(--(WEEKDAY(ROW(INDIRECT($E35:$E49&amp;":"&amp;$F35:$F49)),1)=3))</f>
        <v>0</v>
      </c>
      <c r="J35" s="59">
        <f>SUMPRODUCT(--(WEEKDAY(ROW(INDIRECT($E35:$E49&amp;":"&amp;$F35:$F49)),1)=4))</f>
        <v>1</v>
      </c>
      <c r="K35" s="59">
        <f>SUMPRODUCT(--(WEEKDAY(ROW(INDIRECT($E35:$E49&amp;":"&amp;$F35:$F49)),1)=5))</f>
        <v>0</v>
      </c>
      <c r="L35" s="59">
        <f>SUMPRODUCT(--(WEEKDAY(ROW(INDIRECT($E35:$E49&amp;":"&amp;$F35:$F49)),1)=6))</f>
        <v>0</v>
      </c>
      <c r="M35" s="59">
        <f>SUMPRODUCT(--(WEEKDAY(ROW(INDIRECT($E35:$E49&amp;":"&amp;$F35:$F49)),1)=7))</f>
        <v>0</v>
      </c>
      <c r="N35" s="59">
        <f t="shared" si="7"/>
        <v>1</v>
      </c>
      <c r="O35" s="47">
        <f t="shared" si="8"/>
        <v>1</v>
      </c>
      <c r="P35" s="47"/>
      <c r="Q35" s="60" t="str">
        <f>VLOOKUP($B35,'[2]T01.2025'!C20:F7373,4,0)</f>
        <v>1059165633</v>
      </c>
      <c r="R35" s="60"/>
      <c r="S35" s="61"/>
      <c r="T35" s="8" t="s">
        <v>42</v>
      </c>
      <c r="U35" s="1" t="s">
        <v>43</v>
      </c>
      <c r="W35" s="2"/>
      <c r="Z35" s="60" t="str">
        <f>VLOOKUP($B35,'[2]Số sổ BHXH T05'!$B$11:$K$11515,10,0)</f>
        <v>Công nhân vận hành máy may công nghiệp</v>
      </c>
    </row>
    <row r="36" ht="27.75" customHeight="1" spans="1:26" x14ac:dyDescent="0.25">
      <c r="A36" s="47">
        <v>19</v>
      </c>
      <c r="B36" s="56" t="s">
        <v>62</v>
      </c>
      <c r="C36" s="57" t="str">
        <f>VLOOKUP($B36,[1]Sheet1!$F$5:$G$69270,2,0)</f>
        <v>NGUYỄN VĂN THÀNH</v>
      </c>
      <c r="D36" s="47" t="str">
        <f>VLOOKUP($B36,'[2]Số sổ BHXH T05'!$B$11:$K$11515,4,0)</f>
        <v>2714057988</v>
      </c>
      <c r="E36" s="58">
        <v>45977</v>
      </c>
      <c r="F36" s="58">
        <v>45980</v>
      </c>
      <c r="G36" s="59">
        <f>SUMPRODUCT(--(WEEKDAY(ROW(INDIRECT($E36:$E49&amp;":"&amp;$F36:$F49)),1)=1))</f>
        <v>1</v>
      </c>
      <c r="H36" s="59">
        <f>SUMPRODUCT(--(WEEKDAY(ROW(INDIRECT($E36:$E49&amp;":"&amp;$F36:$F49)),1)=2))</f>
        <v>1</v>
      </c>
      <c r="I36" s="59">
        <f>SUMPRODUCT(--(WEEKDAY(ROW(INDIRECT($E36:$E49&amp;":"&amp;$F36:$F49)),1)=3))</f>
        <v>1</v>
      </c>
      <c r="J36" s="59">
        <f>SUMPRODUCT(--(WEEKDAY(ROW(INDIRECT($E36:$E49&amp;":"&amp;$F36:$F49)),1)=4))</f>
        <v>1</v>
      </c>
      <c r="K36" s="59">
        <f>SUMPRODUCT(--(WEEKDAY(ROW(INDIRECT($E36:$E49&amp;":"&amp;$F36:$F49)),1)=5))</f>
        <v>0</v>
      </c>
      <c r="L36" s="59">
        <f>SUMPRODUCT(--(WEEKDAY(ROW(INDIRECT($E36:$E49&amp;":"&amp;$F36:$F49)),1)=6))</f>
        <v>0</v>
      </c>
      <c r="M36" s="59">
        <f>SUMPRODUCT(--(WEEKDAY(ROW(INDIRECT($E36:$E49&amp;":"&amp;$F36:$F49)),1)=7))</f>
        <v>0</v>
      </c>
      <c r="N36" s="59">
        <f t="shared" si="7"/>
        <v>3</v>
      </c>
      <c r="O36" s="47">
        <f t="shared" si="8"/>
        <v>4</v>
      </c>
      <c r="P36" s="47"/>
      <c r="Q36" s="60" t="str">
        <f>VLOOKUP($B36,'[2]T01.2025'!C21:F7374,4,0)</f>
        <v>1020059756</v>
      </c>
      <c r="R36" s="60"/>
      <c r="S36" s="61"/>
      <c r="T36" s="8" t="s">
        <v>42</v>
      </c>
      <c r="U36" s="1" t="s">
        <v>43</v>
      </c>
      <c r="W36" s="2"/>
      <c r="Z36" s="60" t="str">
        <f>VLOOKUP($B36,'[2]Số sổ BHXH T05'!$B$11:$K$11515,10,0)</f>
        <v>Công nhân vận hành máy may công nghiệp</v>
      </c>
    </row>
    <row r="37" ht="36" customHeight="1" spans="1:26" x14ac:dyDescent="0.25">
      <c r="A37" s="47">
        <v>20</v>
      </c>
      <c r="B37" s="56" t="s">
        <v>63</v>
      </c>
      <c r="C37" s="57" t="str">
        <f>VLOOKUP($B37,[1]Sheet1!$F$5:$G$69270,2,0)</f>
        <v>ĐỖ THỊ LAN</v>
      </c>
      <c r="D37" s="47" t="str">
        <f>VLOOKUP($B37,'[2]Số sổ BHXH T05'!$B$11:$K$11515,4,0)</f>
        <v>2422192410</v>
      </c>
      <c r="E37" s="58">
        <v>45978</v>
      </c>
      <c r="F37" s="58">
        <v>45980</v>
      </c>
      <c r="G37" s="59">
        <f>SUMPRODUCT(--(WEEKDAY(ROW(INDIRECT($E37:$E49&amp;":"&amp;$F37:$F49)),1)=1))</f>
        <v>0</v>
      </c>
      <c r="H37" s="59">
        <f>SUMPRODUCT(--(WEEKDAY(ROW(INDIRECT($E37:$E49&amp;":"&amp;$F37:$F49)),1)=2))</f>
        <v>1</v>
      </c>
      <c r="I37" s="59">
        <f>SUMPRODUCT(--(WEEKDAY(ROW(INDIRECT($E37:$E49&amp;":"&amp;$F37:$F49)),1)=3))</f>
        <v>1</v>
      </c>
      <c r="J37" s="59">
        <f>SUMPRODUCT(--(WEEKDAY(ROW(INDIRECT($E37:$E49&amp;":"&amp;$F37:$F49)),1)=4))</f>
        <v>1</v>
      </c>
      <c r="K37" s="59">
        <f>SUMPRODUCT(--(WEEKDAY(ROW(INDIRECT($E37:$E49&amp;":"&amp;$F37:$F49)),1)=5))</f>
        <v>0</v>
      </c>
      <c r="L37" s="59">
        <f>SUMPRODUCT(--(WEEKDAY(ROW(INDIRECT($E37:$E49&amp;":"&amp;$F37:$F49)),1)=6))</f>
        <v>0</v>
      </c>
      <c r="M37" s="59">
        <f>SUMPRODUCT(--(WEEKDAY(ROW(INDIRECT($E37:$E49&amp;":"&amp;$F37:$F49)),1)=7))</f>
        <v>0</v>
      </c>
      <c r="N37" s="59">
        <f t="shared" si="7"/>
        <v>3</v>
      </c>
      <c r="O37" s="47">
        <f t="shared" si="8"/>
        <v>3</v>
      </c>
      <c r="P37" s="47"/>
      <c r="Q37" s="60" t="str">
        <f>VLOOKUP($B37,'[2]T01.2025'!C22:F7375,4,0)</f>
        <v>1040202509</v>
      </c>
      <c r="R37" s="60"/>
      <c r="S37" s="61"/>
      <c r="T37" s="8" t="s">
        <v>42</v>
      </c>
      <c r="U37" s="1" t="s">
        <v>43</v>
      </c>
      <c r="W37" s="2"/>
      <c r="Z37" s="60" t="str">
        <f>VLOOKUP($B37,'[2]Số sổ BHXH T05'!$B$11:$K$11515,10,0)</f>
        <v>Công nhân vận hành máy may công nghiệp</v>
      </c>
    </row>
    <row r="38" ht="27.75" customHeight="1" spans="1:26" x14ac:dyDescent="0.25">
      <c r="A38" s="47">
        <v>21</v>
      </c>
      <c r="B38" s="56" t="s">
        <v>64</v>
      </c>
      <c r="C38" s="57" t="str">
        <f>VLOOKUP($B38,[1]Sheet1!$F$5:$G$69270,2,0)</f>
        <v>NGUYỄN VĂN BA</v>
      </c>
      <c r="D38" s="47" t="str">
        <f>VLOOKUP($B38,'[2]Số sổ BHXH T05'!$B$11:$K$11515,4,0)</f>
        <v>2408014731</v>
      </c>
      <c r="E38" s="58">
        <v>45968</v>
      </c>
      <c r="F38" s="58">
        <v>45969</v>
      </c>
      <c r="G38" s="59">
        <f>SUMPRODUCT(--(WEEKDAY(ROW(INDIRECT($E38:$E49&amp;":"&amp;$F38:$F49)),1)=1))</f>
        <v>0</v>
      </c>
      <c r="H38" s="59">
        <f>SUMPRODUCT(--(WEEKDAY(ROW(INDIRECT($E38:$E49&amp;":"&amp;$F38:$F49)),1)=2))</f>
        <v>0</v>
      </c>
      <c r="I38" s="59">
        <f>SUMPRODUCT(--(WEEKDAY(ROW(INDIRECT($E38:$E49&amp;":"&amp;$F38:$F49)),1)=3))</f>
        <v>0</v>
      </c>
      <c r="J38" s="59">
        <f>SUMPRODUCT(--(WEEKDAY(ROW(INDIRECT($E38:$E49&amp;":"&amp;$F38:$F49)),1)=4))</f>
        <v>0</v>
      </c>
      <c r="K38" s="59">
        <f>SUMPRODUCT(--(WEEKDAY(ROW(INDIRECT($E38:$E49&amp;":"&amp;$F38:$F49)),1)=5))</f>
        <v>0</v>
      </c>
      <c r="L38" s="59">
        <f>SUMPRODUCT(--(WEEKDAY(ROW(INDIRECT($E38:$E49&amp;":"&amp;$F38:$F49)),1)=6))</f>
        <v>1</v>
      </c>
      <c r="M38" s="59">
        <f>SUMPRODUCT(--(WEEKDAY(ROW(INDIRECT($E38:$E49&amp;":"&amp;$F38:$F49)),1)=7))</f>
        <v>1</v>
      </c>
      <c r="N38" s="59">
        <f t="shared" si="7"/>
        <v>2</v>
      </c>
      <c r="O38" s="47">
        <f t="shared" si="8"/>
        <v>2</v>
      </c>
      <c r="P38" s="47"/>
      <c r="Q38" s="60" t="str">
        <f>VLOOKUP($B38,'[2]T01.2025'!C23:F7376,4,0)</f>
        <v>0351001234486</v>
      </c>
      <c r="R38" s="60"/>
      <c r="S38" s="61"/>
      <c r="T38" s="8" t="s">
        <v>42</v>
      </c>
      <c r="U38" s="1" t="s">
        <v>43</v>
      </c>
      <c r="W38" s="2"/>
      <c r="Z38" s="60" t="str">
        <f>VLOOKUP($B38,'[2]Số sổ BHXH T05'!$B$11:$K$11515,10,0)</f>
        <v>Công nhân vận hành máy may công nghiệp</v>
      </c>
    </row>
    <row r="39" ht="27.75" customHeight="1" spans="1:26" x14ac:dyDescent="0.25">
      <c r="A39" s="47">
        <v>22</v>
      </c>
      <c r="B39" s="56" t="s">
        <v>46</v>
      </c>
      <c r="C39" s="57" t="str">
        <f>VLOOKUP($B39,[1]Sheet1!$F$5:$G$69270,2,0)</f>
        <v>LÝ THỊ HOA</v>
      </c>
      <c r="D39" s="47" t="str">
        <f>VLOOKUP($B39,'[2]Số sổ BHXH T05'!$B$11:$K$11515,4,0)</f>
        <v>2714067961</v>
      </c>
      <c r="E39" s="58">
        <v>45972</v>
      </c>
      <c r="F39" s="58">
        <v>45974</v>
      </c>
      <c r="G39" s="59">
        <f>SUMPRODUCT(--(WEEKDAY(ROW(INDIRECT($E39:$E49&amp;":"&amp;$F39:$F49)),1)=1))</f>
        <v>0</v>
      </c>
      <c r="H39" s="59">
        <f>SUMPRODUCT(--(WEEKDAY(ROW(INDIRECT($E39:$E49&amp;":"&amp;$F39:$F49)),1)=2))</f>
        <v>0</v>
      </c>
      <c r="I39" s="59">
        <f>SUMPRODUCT(--(WEEKDAY(ROW(INDIRECT($E39:$E49&amp;":"&amp;$F39:$F49)),1)=3))</f>
        <v>1</v>
      </c>
      <c r="J39" s="59">
        <f>SUMPRODUCT(--(WEEKDAY(ROW(INDIRECT($E39:$E49&amp;":"&amp;$F39:$F49)),1)=4))</f>
        <v>1</v>
      </c>
      <c r="K39" s="59">
        <f>SUMPRODUCT(--(WEEKDAY(ROW(INDIRECT($E39:$E49&amp;":"&amp;$F39:$F49)),1)=5))</f>
        <v>1</v>
      </c>
      <c r="L39" s="59">
        <f>SUMPRODUCT(--(WEEKDAY(ROW(INDIRECT($E39:$E49&amp;":"&amp;$F39:$F49)),1)=6))</f>
        <v>0</v>
      </c>
      <c r="M39" s="59">
        <f>SUMPRODUCT(--(WEEKDAY(ROW(INDIRECT($E39:$E49&amp;":"&amp;$F39:$F49)),1)=7))</f>
        <v>0</v>
      </c>
      <c r="N39" s="59">
        <f t="shared" si="7"/>
        <v>3</v>
      </c>
      <c r="O39" s="47">
        <f t="shared" si="8"/>
        <v>3</v>
      </c>
      <c r="P39" s="47"/>
      <c r="Q39" s="60" t="str">
        <f>VLOOKUP($B39,'[2]T01.2025'!C24:F7377,4,0)</f>
        <v>0351001120207</v>
      </c>
      <c r="R39" s="60"/>
      <c r="S39" s="61"/>
      <c r="T39" s="8" t="s">
        <v>42</v>
      </c>
      <c r="U39" s="1" t="s">
        <v>65</v>
      </c>
      <c r="W39" s="2"/>
      <c r="Z39" s="60" t="str">
        <f>VLOOKUP($B39,'[2]Số sổ BHXH T05'!$B$11:$K$11515,10,0)</f>
        <v>Công nhân đóng gói</v>
      </c>
    </row>
    <row r="40" ht="36" customHeight="1" spans="1:26" x14ac:dyDescent="0.25">
      <c r="A40" s="47">
        <v>23</v>
      </c>
      <c r="B40" s="56" t="s">
        <v>66</v>
      </c>
      <c r="C40" s="57" t="str">
        <f>VLOOKUP($B40,[1]Sheet1!$F$5:$G$69270,2,0)</f>
        <v>DƯƠNG ĐĂNG TRUNG</v>
      </c>
      <c r="D40" s="47" t="str">
        <f>VLOOKUP($B40,'[2]Số sổ BHXH T05'!$B$11:$K$11515,4,0)</f>
        <v>2415035597</v>
      </c>
      <c r="E40" s="58">
        <v>45970</v>
      </c>
      <c r="F40" s="58">
        <v>45976</v>
      </c>
      <c r="G40" s="59">
        <f>SUMPRODUCT(--(WEEKDAY(ROW(INDIRECT($E40:$E49&amp;":"&amp;$F40:$F49)),1)=1))</f>
        <v>1</v>
      </c>
      <c r="H40" s="59">
        <f>SUMPRODUCT(--(WEEKDAY(ROW(INDIRECT($E40:$E49&amp;":"&amp;$F40:$F49)),1)=2))</f>
        <v>1</v>
      </c>
      <c r="I40" s="59">
        <f>SUMPRODUCT(--(WEEKDAY(ROW(INDIRECT($E40:$E49&amp;":"&amp;$F40:$F49)),1)=3))</f>
        <v>1</v>
      </c>
      <c r="J40" s="59">
        <f>SUMPRODUCT(--(WEEKDAY(ROW(INDIRECT($E40:$E49&amp;":"&amp;$F40:$F49)),1)=4))</f>
        <v>1</v>
      </c>
      <c r="K40" s="59">
        <f>SUMPRODUCT(--(WEEKDAY(ROW(INDIRECT($E40:$E49&amp;":"&amp;$F40:$F49)),1)=5))</f>
        <v>1</v>
      </c>
      <c r="L40" s="59">
        <f>SUMPRODUCT(--(WEEKDAY(ROW(INDIRECT($E40:$E49&amp;":"&amp;$F40:$F49)),1)=6))</f>
        <v>1</v>
      </c>
      <c r="M40" s="59">
        <f>SUMPRODUCT(--(WEEKDAY(ROW(INDIRECT($E40:$E49&amp;":"&amp;$F40:$F49)),1)=7))</f>
        <v>1</v>
      </c>
      <c r="N40" s="59">
        <f t="shared" si="7"/>
        <v>6</v>
      </c>
      <c r="O40" s="47">
        <f t="shared" si="8"/>
        <v>7</v>
      </c>
      <c r="P40" s="47"/>
      <c r="Q40" s="60" t="str">
        <f>VLOOKUP($B40,'[2]T01.2025'!C25:F7378,4,0)</f>
        <v>1047195760</v>
      </c>
      <c r="R40" s="60"/>
      <c r="S40" s="61"/>
      <c r="T40" s="8" t="s">
        <v>42</v>
      </c>
      <c r="U40" s="1" t="s">
        <v>65</v>
      </c>
      <c r="W40" s="2"/>
      <c r="Z40" s="60" t="str">
        <f>VLOOKUP($B40,'[2]Số sổ BHXH T05'!$B$11:$K$11515,10,0)</f>
        <v>Công nhân vận hành máy may công nghiệp</v>
      </c>
    </row>
    <row r="41" ht="64.5" customHeight="1" spans="1:26" x14ac:dyDescent="0.25">
      <c r="A41" s="47">
        <v>24</v>
      </c>
      <c r="B41" s="56" t="s">
        <v>67</v>
      </c>
      <c r="C41" s="57" t="str">
        <f>VLOOKUP($B41,[1]Sheet1!$F$5:$G$69270,2,0)</f>
        <v>NGUYỄN THANH MAI</v>
      </c>
      <c r="D41" s="47" t="str">
        <f>VLOOKUP($B41,'[2]Số sổ BHXH T05'!$B$11:$K$11515,4,0)</f>
        <v>2420341562</v>
      </c>
      <c r="E41" s="58">
        <v>45968</v>
      </c>
      <c r="F41" s="58">
        <v>45978</v>
      </c>
      <c r="G41" s="59">
        <f>SUMPRODUCT(--(WEEKDAY(ROW(INDIRECT($E41:$E49&amp;":"&amp;$F41:$F49)),1)=1))</f>
        <v>2</v>
      </c>
      <c r="H41" s="59">
        <f>SUMPRODUCT(--(WEEKDAY(ROW(INDIRECT($E41:$E49&amp;":"&amp;$F41:$F49)),1)=2))</f>
        <v>2</v>
      </c>
      <c r="I41" s="59">
        <f>SUMPRODUCT(--(WEEKDAY(ROW(INDIRECT($E41:$E49&amp;":"&amp;$F41:$F49)),1)=3))</f>
        <v>1</v>
      </c>
      <c r="J41" s="59">
        <f>SUMPRODUCT(--(WEEKDAY(ROW(INDIRECT($E41:$E49&amp;":"&amp;$F41:$F49)),1)=4))</f>
        <v>1</v>
      </c>
      <c r="K41" s="59">
        <f>SUMPRODUCT(--(WEEKDAY(ROW(INDIRECT($E41:$E49&amp;":"&amp;$F41:$F49)),1)=5))</f>
        <v>1</v>
      </c>
      <c r="L41" s="59">
        <f>SUMPRODUCT(--(WEEKDAY(ROW(INDIRECT($E41:$E49&amp;":"&amp;$F41:$F49)),1)=6))</f>
        <v>2</v>
      </c>
      <c r="M41" s="59">
        <f>SUMPRODUCT(--(WEEKDAY(ROW(INDIRECT($E41:$E49&amp;":"&amp;$F41:$F49)),1)=7))</f>
        <v>2</v>
      </c>
      <c r="N41" s="59">
        <f t="shared" si="7"/>
        <v>9</v>
      </c>
      <c r="O41" s="47">
        <f t="shared" si="8"/>
        <v>11</v>
      </c>
      <c r="P41" s="47"/>
      <c r="Q41" s="60" t="str">
        <f>VLOOKUP($B41,'[2]T01.2025'!C26:F7379,4,0)</f>
        <v>1051407522</v>
      </c>
      <c r="R41" s="60"/>
      <c r="S41" s="61"/>
      <c r="T41" s="8" t="s">
        <v>42</v>
      </c>
      <c r="U41" s="1" t="s">
        <v>65</v>
      </c>
      <c r="W41" s="2"/>
      <c r="Z41" s="60" t="str">
        <f>VLOOKUP($B41,'[2]Số sổ BHXH T05'!$B$11:$K$11515,10,0)</f>
        <v>Công nhân vận hành máy may công nghiệp</v>
      </c>
    </row>
    <row r="42" ht="27.75" customHeight="1" spans="1:26" x14ac:dyDescent="0.25">
      <c r="A42" s="47">
        <v>25</v>
      </c>
      <c r="B42" s="56" t="s">
        <v>68</v>
      </c>
      <c r="C42" s="57" t="str">
        <f>VLOOKUP($B42,[1]Sheet1!$F$5:$G$69270,2,0)</f>
        <v>TRẦN THỊ LUYỆN</v>
      </c>
      <c r="D42" s="47" t="str">
        <f>VLOOKUP($B42,'[2]Số sổ BHXH T05'!$B$11:$K$11515,4,0)</f>
        <v>2420516489</v>
      </c>
      <c r="E42" s="58">
        <v>45966</v>
      </c>
      <c r="F42" s="58">
        <v>45977</v>
      </c>
      <c r="G42" s="59">
        <f>SUMPRODUCT(--(WEEKDAY(ROW(INDIRECT($E42:$E49&amp;":"&amp;$F42:$F49)),1)=1))</f>
        <v>2</v>
      </c>
      <c r="H42" s="59">
        <f>SUMPRODUCT(--(WEEKDAY(ROW(INDIRECT($E42:$E49&amp;":"&amp;$F42:$F49)),1)=2))</f>
        <v>1</v>
      </c>
      <c r="I42" s="59">
        <f>SUMPRODUCT(--(WEEKDAY(ROW(INDIRECT($E42:$E49&amp;":"&amp;$F42:$F49)),1)=3))</f>
        <v>1</v>
      </c>
      <c r="J42" s="59">
        <f>SUMPRODUCT(--(WEEKDAY(ROW(INDIRECT($E42:$E49&amp;":"&amp;$F42:$F49)),1)=4))</f>
        <v>2</v>
      </c>
      <c r="K42" s="59">
        <f>SUMPRODUCT(--(WEEKDAY(ROW(INDIRECT($E42:$E49&amp;":"&amp;$F42:$F49)),1)=5))</f>
        <v>2</v>
      </c>
      <c r="L42" s="59">
        <f>SUMPRODUCT(--(WEEKDAY(ROW(INDIRECT($E42:$E49&amp;":"&amp;$F42:$F49)),1)=6))</f>
        <v>2</v>
      </c>
      <c r="M42" s="59">
        <f>SUMPRODUCT(--(WEEKDAY(ROW(INDIRECT($E42:$E49&amp;":"&amp;$F42:$F49)),1)=7))</f>
        <v>2</v>
      </c>
      <c r="N42" s="59">
        <f t="shared" si="7"/>
        <v>10</v>
      </c>
      <c r="O42" s="47">
        <f t="shared" si="8"/>
        <v>12</v>
      </c>
      <c r="P42" s="47"/>
      <c r="Q42" s="60" t="str">
        <f>VLOOKUP($B42,'[2]T01.2025'!C27:F7380,4,0)</f>
        <v>1044895679</v>
      </c>
      <c r="R42" s="60"/>
      <c r="S42" s="61"/>
      <c r="T42" s="8" t="s">
        <v>42</v>
      </c>
      <c r="U42" s="1" t="s">
        <v>65</v>
      </c>
      <c r="W42" s="2"/>
      <c r="Z42" s="60" t="str">
        <f>VLOOKUP($B42,'[2]Số sổ BHXH T05'!$B$11:$K$11515,10,0)</f>
        <v>Công nhân vận hành máy may công nghiệp</v>
      </c>
    </row>
    <row r="43" ht="27.75" customHeight="1" spans="1:26" x14ac:dyDescent="0.25">
      <c r="A43" s="47">
        <v>26</v>
      </c>
      <c r="B43" s="56" t="s">
        <v>69</v>
      </c>
      <c r="C43" s="57" t="str">
        <f>VLOOKUP($B43,[1]Sheet1!$F$5:$G$69270,2,0)</f>
        <v>NGUYỄN THỊ HẰNG</v>
      </c>
      <c r="D43" s="47" t="str">
        <f>VLOOKUP($B43,'[2]Số sổ BHXH T05'!$B$11:$K$11515,4,0)</f>
        <v>2414000564</v>
      </c>
      <c r="E43" s="58">
        <v>45971</v>
      </c>
      <c r="F43" s="58">
        <v>45983</v>
      </c>
      <c r="G43" s="59">
        <f>SUMPRODUCT(--(WEEKDAY(ROW(INDIRECT($E43:$E49&amp;":"&amp;$F43:$F49)),1)=1))</f>
        <v>1</v>
      </c>
      <c r="H43" s="59">
        <f>SUMPRODUCT(--(WEEKDAY(ROW(INDIRECT($E43:$E49&amp;":"&amp;$F43:$F49)),1)=2))</f>
        <v>2</v>
      </c>
      <c r="I43" s="59">
        <f>SUMPRODUCT(--(WEEKDAY(ROW(INDIRECT($E43:$E49&amp;":"&amp;$F43:$F49)),1)=3))</f>
        <v>2</v>
      </c>
      <c r="J43" s="59">
        <f>SUMPRODUCT(--(WEEKDAY(ROW(INDIRECT($E43:$E49&amp;":"&amp;$F43:$F49)),1)=4))</f>
        <v>2</v>
      </c>
      <c r="K43" s="59">
        <f>SUMPRODUCT(--(WEEKDAY(ROW(INDIRECT($E43:$E49&amp;":"&amp;$F43:$F49)),1)=5))</f>
        <v>2</v>
      </c>
      <c r="L43" s="59">
        <f>SUMPRODUCT(--(WEEKDAY(ROW(INDIRECT($E43:$E49&amp;":"&amp;$F43:$F49)),1)=6))</f>
        <v>2</v>
      </c>
      <c r="M43" s="59">
        <f>SUMPRODUCT(--(WEEKDAY(ROW(INDIRECT($E43:$E49&amp;":"&amp;$F43:$F49)),1)=7))</f>
        <v>2</v>
      </c>
      <c r="N43" s="59">
        <f t="shared" si="7"/>
        <v>12</v>
      </c>
      <c r="O43" s="47">
        <f t="shared" si="8"/>
        <v>13</v>
      </c>
      <c r="P43" s="47"/>
      <c r="Q43" s="60" t="str">
        <f>VLOOKUP($B43,'[2]T01.2025'!C28:F7381,4,0)</f>
        <v>1038677573</v>
      </c>
      <c r="R43" s="60"/>
      <c r="S43" s="61" t="s">
        <v>70</v>
      </c>
      <c r="T43" s="8" t="s">
        <v>42</v>
      </c>
      <c r="U43" s="1" t="s">
        <v>71</v>
      </c>
      <c r="W43" s="2"/>
      <c r="Z43" s="60" t="str">
        <f>VLOOKUP($B43,'[2]Số sổ BHXH T05'!$B$11:$K$11515,10,0)</f>
        <v>Công nhân vận hành máy may công nghiệp</v>
      </c>
    </row>
    <row r="44" ht="81.75" customHeight="1" spans="1:26" x14ac:dyDescent="0.25">
      <c r="A44" s="47">
        <v>27</v>
      </c>
      <c r="B44" s="56" t="s">
        <v>72</v>
      </c>
      <c r="C44" s="57" t="str">
        <f>VLOOKUP($B44,[1]Sheet1!$F$5:$G$69270,2,0)</f>
        <v>NGUYỄN THỊ LAN PHƯƠNG</v>
      </c>
      <c r="D44" s="47" t="str">
        <f>VLOOKUP($B44,'[2]Số sổ BHXH T05'!$B$11:$K$11515,4,0)</f>
        <v>2413004587</v>
      </c>
      <c r="E44" s="58">
        <v>45965</v>
      </c>
      <c r="F44" s="58">
        <v>45978</v>
      </c>
      <c r="G44" s="59">
        <f>SUMPRODUCT(--(WEEKDAY(ROW(INDIRECT($E44:$E49&amp;":"&amp;$F44:$F49)),1)=1))</f>
        <v>2</v>
      </c>
      <c r="H44" s="59">
        <f>SUMPRODUCT(--(WEEKDAY(ROW(INDIRECT($E44:$E49&amp;":"&amp;$F44:$F49)),1)=2))</f>
        <v>2</v>
      </c>
      <c r="I44" s="59">
        <f>SUMPRODUCT(--(WEEKDAY(ROW(INDIRECT($E44:$E49&amp;":"&amp;$F44:$F49)),1)=3))</f>
        <v>2</v>
      </c>
      <c r="J44" s="59">
        <f>SUMPRODUCT(--(WEEKDAY(ROW(INDIRECT($E44:$E49&amp;":"&amp;$F44:$F49)),1)=4))</f>
        <v>2</v>
      </c>
      <c r="K44" s="59">
        <f>SUMPRODUCT(--(WEEKDAY(ROW(INDIRECT($E44:$E49&amp;":"&amp;$F44:$F49)),1)=5))</f>
        <v>2</v>
      </c>
      <c r="L44" s="59">
        <f>SUMPRODUCT(--(WEEKDAY(ROW(INDIRECT($E44:$E49&amp;":"&amp;$F44:$F49)),1)=6))</f>
        <v>2</v>
      </c>
      <c r="M44" s="59">
        <f>SUMPRODUCT(--(WEEKDAY(ROW(INDIRECT($E44:$E49&amp;":"&amp;$F44:$F49)),1)=7))</f>
        <v>2</v>
      </c>
      <c r="N44" s="59">
        <f t="shared" si="7"/>
        <v>12</v>
      </c>
      <c r="O44" s="47">
        <f t="shared" si="8"/>
        <v>14</v>
      </c>
      <c r="P44" s="47"/>
      <c r="Q44" s="60" t="str">
        <f>VLOOKUP($B44,'[2]T01.2025'!C29:F7382,4,0)</f>
        <v>0351000741391</v>
      </c>
      <c r="R44" s="60"/>
      <c r="S44" s="61" t="s">
        <v>73</v>
      </c>
      <c r="T44" s="8" t="s">
        <v>42</v>
      </c>
      <c r="U44" s="1" t="s">
        <v>65</v>
      </c>
      <c r="W44" s="2"/>
      <c r="Z44" s="60" t="str">
        <f>VLOOKUP($B44,'[2]Số sổ BHXH T05'!$B$11:$K$11515,10,0)</f>
        <v>Phó giám sát phòng Công nghệ may</v>
      </c>
    </row>
    <row r="45" ht="36" customHeight="1" spans="1:26" x14ac:dyDescent="0.25">
      <c r="A45" s="47">
        <v>28</v>
      </c>
      <c r="B45" s="56" t="s">
        <v>74</v>
      </c>
      <c r="C45" s="57" t="str">
        <f>VLOOKUP($B45,[1]Sheet1!$F$5:$G$69270,2,0)</f>
        <v>NGUYỄN THỊ DIỆU</v>
      </c>
      <c r="D45" s="47" t="str">
        <f>VLOOKUP($B45,'[2]Số sổ BHXH T05'!$B$11:$K$11515,4,0)</f>
        <v>2420394748</v>
      </c>
      <c r="E45" s="58">
        <v>45974</v>
      </c>
      <c r="F45" s="58">
        <v>45981</v>
      </c>
      <c r="G45" s="59">
        <f>SUMPRODUCT(--(WEEKDAY(ROW(INDIRECT($E40:$E49&amp;":"&amp;$F40:$F49)),1)=1))</f>
        <v>1</v>
      </c>
      <c r="H45" s="59">
        <f>SUMPRODUCT(--(WEEKDAY(ROW(INDIRECT($E40:$E49&amp;":"&amp;$F40:$F49)),1)=2))</f>
        <v>1</v>
      </c>
      <c r="I45" s="59">
        <f>SUMPRODUCT(--(WEEKDAY(ROW(INDIRECT($E40:$E49&amp;":"&amp;$F40:$F49)),1)=3))</f>
        <v>1</v>
      </c>
      <c r="J45" s="59">
        <f>SUMPRODUCT(--(WEEKDAY(ROW(INDIRECT($E40:$E49&amp;":"&amp;$F40:$F49)),1)=4))</f>
        <v>1</v>
      </c>
      <c r="K45" s="59">
        <f>SUMPRODUCT(--(WEEKDAY(ROW(INDIRECT($E40:$E49&amp;":"&amp;$F40:$F49)),1)=5))</f>
        <v>2</v>
      </c>
      <c r="L45" s="59">
        <f>SUMPRODUCT(--(WEEKDAY(ROW(INDIRECT($E40:$E49&amp;":"&amp;$F40:$F49)),1)=6))</f>
        <v>1</v>
      </c>
      <c r="M45" s="59">
        <f>SUMPRODUCT(--(WEEKDAY(ROW(INDIRECT($E40:$E49&amp;":"&amp;$F40:$F49)),1)=7))</f>
        <v>1</v>
      </c>
      <c r="N45" s="59">
        <f>SUM(H45:M45)</f>
        <v>7</v>
      </c>
      <c r="O45" s="47">
        <f t="shared" si="8"/>
        <v>8</v>
      </c>
      <c r="P45" s="47"/>
      <c r="Q45" s="60" t="str">
        <f>VLOOKUP($B45,'[2]T01.2025'!C30:F7383,4,0)</f>
        <v>1832993688</v>
      </c>
      <c r="R45" s="60"/>
      <c r="S45" s="61" t="s">
        <v>75</v>
      </c>
      <c r="T45" s="8" t="s">
        <v>42</v>
      </c>
      <c r="U45" s="1" t="s">
        <v>65</v>
      </c>
      <c r="W45" s="2"/>
      <c r="Z45" s="60" t="str">
        <f>VLOOKUP($B45,'[2]Số sổ BHXH T05'!$B$11:$K$11515,10,0)</f>
        <v>Công nhân vận hành máy may công nghiệp</v>
      </c>
    </row>
    <row r="46" ht="27.75" customHeight="1" spans="1:26" x14ac:dyDescent="0.25">
      <c r="A46" s="47">
        <v>29</v>
      </c>
      <c r="B46" s="56" t="s">
        <v>76</v>
      </c>
      <c r="C46" s="57" t="str">
        <f>VLOOKUP($B46,[1]Sheet1!$F$5:$G$69270,2,0)</f>
        <v>NGUYỄN THỊ ANH ĐÀO</v>
      </c>
      <c r="D46" s="47" t="str">
        <f>VLOOKUP($B46,'[2]Số sổ BHXH T05'!$B$11:$K$11515,4,0)</f>
        <v>2422377268</v>
      </c>
      <c r="E46" s="58">
        <v>45959</v>
      </c>
      <c r="F46" s="58">
        <v>45969</v>
      </c>
      <c r="G46" s="59">
        <f>SUMPRODUCT(--(WEEKDAY(ROW(INDIRECT($E46:$E49&amp;":"&amp;$F46:$F49)),1)=1))</f>
        <v>1</v>
      </c>
      <c r="H46" s="59">
        <f>SUMPRODUCT(--(WEEKDAY(ROW(INDIRECT($E46:$E49&amp;":"&amp;$F46:$F49)),1)=2))</f>
        <v>1</v>
      </c>
      <c r="I46" s="59">
        <f>SUMPRODUCT(--(WEEKDAY(ROW(INDIRECT($E46:$E49&amp;":"&amp;$F46:$F49)),1)=3))</f>
        <v>1</v>
      </c>
      <c r="J46" s="59">
        <f>SUMPRODUCT(--(WEEKDAY(ROW(INDIRECT($E46:$E49&amp;":"&amp;$F46:$F49)),1)=4))</f>
        <v>2</v>
      </c>
      <c r="K46" s="59">
        <f>SUMPRODUCT(--(WEEKDAY(ROW(INDIRECT($E46:$E49&amp;":"&amp;$F46:$F49)),1)=5))</f>
        <v>2</v>
      </c>
      <c r="L46" s="59">
        <f>SUMPRODUCT(--(WEEKDAY(ROW(INDIRECT($E46:$E49&amp;":"&amp;$F46:$F49)),1)=6))</f>
        <v>2</v>
      </c>
      <c r="M46" s="59">
        <f>SUMPRODUCT(--(WEEKDAY(ROW(INDIRECT($E46:$E49&amp;":"&amp;$F46:$F49)),1)=7))</f>
        <v>2</v>
      </c>
      <c r="N46" s="59">
        <f>SUM(H46:M46)</f>
        <v>10</v>
      </c>
      <c r="O46" s="47">
        <f t="shared" si="8"/>
        <v>11</v>
      </c>
      <c r="P46" s="47"/>
      <c r="Q46" s="60" t="str">
        <f>VLOOKUP($B46,'[2]T01.2025'!C31:F7384,4,0)</f>
        <v>0351001177004</v>
      </c>
      <c r="R46" s="60"/>
      <c r="S46" s="61"/>
      <c r="T46" s="8" t="s">
        <v>42</v>
      </c>
      <c r="U46" s="1" t="s">
        <v>65</v>
      </c>
      <c r="W46" s="2"/>
      <c r="Z46" s="60" t="str">
        <f>VLOOKUP($B46,'[2]Số sổ BHXH T05'!$B$11:$K$11515,10,0)</f>
        <v>Công nhân vận hành máy may công nghiệp</v>
      </c>
    </row>
    <row r="47" ht="27.75" customHeight="1" spans="1:26" x14ac:dyDescent="0.25">
      <c r="A47" s="47">
        <v>30</v>
      </c>
      <c r="B47" s="56" t="s">
        <v>77</v>
      </c>
      <c r="C47" s="57" t="str">
        <f>VLOOKUP($B47,[1]Sheet1!$F$5:$G$69270,2,0)</f>
        <v>NGUYỄN THỊ NHÀI</v>
      </c>
      <c r="D47" s="47" t="str">
        <f>VLOOKUP($B47,'[2]Số sổ BHXH T05'!$B$11:$K$11515,4,0)</f>
        <v>2416057162</v>
      </c>
      <c r="E47" s="58">
        <v>45971</v>
      </c>
      <c r="F47" s="58">
        <v>45982</v>
      </c>
      <c r="G47" s="59">
        <f t="shared" ref="G47:G48" si="9">SUMPRODUCT(--(WEEKDAY(ROW(INDIRECT($E47:$E50&amp;":"&amp;$F47:$F50)),1)=1))</f>
        <v>1</v>
      </c>
      <c r="H47" s="59">
        <f t="shared" ref="H47:H48" si="10">SUMPRODUCT(--(WEEKDAY(ROW(INDIRECT($E47:$E50&amp;":"&amp;$F47:$F50)),1)=2))</f>
        <v>2</v>
      </c>
      <c r="I47" s="59">
        <f t="shared" ref="I47:I48" si="11">SUMPRODUCT(--(WEEKDAY(ROW(INDIRECT($E47:$E50&amp;":"&amp;$F47:$F50)),1)=3))</f>
        <v>2</v>
      </c>
      <c r="J47" s="59">
        <f t="shared" ref="J47:J48" si="12">SUMPRODUCT(--(WEEKDAY(ROW(INDIRECT($E47:$E50&amp;":"&amp;$F47:$F50)),1)=4))</f>
        <v>2</v>
      </c>
      <c r="K47" s="59">
        <f t="shared" ref="K47:K48" si="13">SUMPRODUCT(--(WEEKDAY(ROW(INDIRECT($E47:$E50&amp;":"&amp;$F47:$F50)),1)=5))</f>
        <v>2</v>
      </c>
      <c r="L47" s="59">
        <f t="shared" ref="L47:L48" si="14">SUMPRODUCT(--(WEEKDAY(ROW(INDIRECT($E47:$E50&amp;":"&amp;$F47:$F50)),1)=6))</f>
        <v>2</v>
      </c>
      <c r="M47" s="59">
        <f t="shared" ref="M47:M48" si="15">SUMPRODUCT(--(WEEKDAY(ROW(INDIRECT($E47:$E50&amp;":"&amp;$F47:$F50)),1)=7))</f>
        <v>1</v>
      </c>
      <c r="N47" s="59">
        <f t="shared" ref="N47:N48" si="16">SUM(H47:M47)</f>
        <v>11</v>
      </c>
      <c r="O47" s="47">
        <f t="shared" si="8"/>
        <v>12</v>
      </c>
      <c r="P47" s="47"/>
      <c r="Q47" s="60" t="str">
        <f>VLOOKUP($B47,'[2]T01.2025'!C32:F7385,4,0)</f>
        <v>0351000963968</v>
      </c>
      <c r="R47" s="60"/>
      <c r="S47" s="61" t="s">
        <v>78</v>
      </c>
      <c r="T47" s="8" t="s">
        <v>42</v>
      </c>
      <c r="U47" s="1" t="s">
        <v>65</v>
      </c>
      <c r="W47" s="2"/>
      <c r="Z47" s="60"/>
    </row>
    <row r="48" ht="27.75" customHeight="1" spans="1:26" x14ac:dyDescent="0.25">
      <c r="A48" s="47">
        <v>31</v>
      </c>
      <c r="B48" s="56" t="s">
        <v>79</v>
      </c>
      <c r="C48" s="57" t="str">
        <f>VLOOKUP($B48,[1]Sheet1!$F$5:$G$69270,2,0)</f>
        <v>ĐÀO THỊ DUYÊN</v>
      </c>
      <c r="D48" s="47" t="str">
        <f>VLOOKUP($B48,'[2]Số sổ BHXH T05'!$B$11:$K$11515,4,0)</f>
        <v>1915804092</v>
      </c>
      <c r="E48" s="58">
        <v>45972</v>
      </c>
      <c r="F48" s="58">
        <v>45980</v>
      </c>
      <c r="G48" s="59">
        <f t="shared" si="9"/>
        <v>1</v>
      </c>
      <c r="H48" s="59">
        <f t="shared" si="10"/>
        <v>1</v>
      </c>
      <c r="I48" s="59">
        <f t="shared" si="11"/>
        <v>2</v>
      </c>
      <c r="J48" s="59">
        <f t="shared" si="12"/>
        <v>2</v>
      </c>
      <c r="K48" s="59">
        <f t="shared" si="13"/>
        <v>1</v>
      </c>
      <c r="L48" s="59">
        <f t="shared" si="14"/>
        <v>1</v>
      </c>
      <c r="M48" s="59">
        <f t="shared" si="15"/>
        <v>1</v>
      </c>
      <c r="N48" s="59">
        <f t="shared" si="16"/>
        <v>8</v>
      </c>
      <c r="O48" s="47">
        <f t="shared" si="8"/>
        <v>9</v>
      </c>
      <c r="P48" s="47"/>
      <c r="Q48" s="60" t="str">
        <f>VLOOKUP($B48,'[2]T01.2025'!C33:F7386,4,0)</f>
        <v>0821000046253</v>
      </c>
      <c r="R48" s="60"/>
      <c r="S48" s="61"/>
      <c r="T48" s="8" t="s">
        <v>42</v>
      </c>
      <c r="U48" s="1" t="s">
        <v>80</v>
      </c>
      <c r="W48" s="2"/>
      <c r="Z48" s="60"/>
    </row>
    <row r="49" ht="32.25" customHeight="1" spans="1:26" x14ac:dyDescent="0.25">
      <c r="A49" s="47"/>
      <c r="B49" s="56"/>
      <c r="C49" s="57" t="e">
        <f>VLOOKUP($B49,[1]Sheet1!$F$5:$G$69270,2,0)</f>
        <v>#N/A</v>
      </c>
      <c r="D49" s="47" t="e">
        <f>VLOOKUP($B49,'[2]Số sổ BHXH T05'!$B$11:$K$11515,4,0)</f>
        <v>#N/A</v>
      </c>
      <c r="E49" s="58"/>
      <c r="F49" s="58"/>
      <c r="G49" s="59" t="e">
        <f>SUMPRODUCT(--(WEEKDAY(ROW(INDIRECT($E49:$E49&amp;":"&amp;$F49:$F49)),1)=1))</f>
        <v>#REF!</v>
      </c>
      <c r="H49" s="59" t="e">
        <f>SUMPRODUCT(--(WEEKDAY(ROW(INDIRECT($E49:$E49&amp;":"&amp;$F49:$F49)),1)=2))</f>
        <v>#REF!</v>
      </c>
      <c r="I49" s="59" t="e">
        <f>SUMPRODUCT(--(WEEKDAY(ROW(INDIRECT($E49:$E49&amp;":"&amp;$F49:$F49)),1)=3))</f>
        <v>#REF!</v>
      </c>
      <c r="J49" s="59" t="e">
        <f>SUMPRODUCT(--(WEEKDAY(ROW(INDIRECT($E49:$E49&amp;":"&amp;$F49:$F49)),1)=4))</f>
        <v>#REF!</v>
      </c>
      <c r="K49" s="59" t="e">
        <f>SUMPRODUCT(--(WEEKDAY(ROW(INDIRECT($E49:$E49&amp;":"&amp;$F49:$F49)),1)=5))</f>
        <v>#REF!</v>
      </c>
      <c r="L49" s="59" t="e">
        <f>SUMPRODUCT(--(WEEKDAY(ROW(INDIRECT($E49:$E49&amp;":"&amp;$F49:$F49)),1)=6))</f>
        <v>#REF!</v>
      </c>
      <c r="M49" s="59" t="e">
        <f>SUMPRODUCT(--(WEEKDAY(ROW(INDIRECT($E49:$E49&amp;":"&amp;$F49:$F49)),1)=7))</f>
        <v>#REF!</v>
      </c>
      <c r="N49" s="59" t="e">
        <f t="shared" si="7"/>
        <v>#REF!</v>
      </c>
      <c r="O49" s="47">
        <f t="shared" si="8"/>
        <v>1</v>
      </c>
      <c r="P49" s="47"/>
      <c r="Q49" s="60" t="e">
        <f>VLOOKUP($B49,'[2]T01.2025'!C32:F7385,4,0)</f>
        <v>#N/A</v>
      </c>
      <c r="R49" s="60"/>
      <c r="S49" s="61"/>
      <c r="T49" s="8" t="s">
        <v>42</v>
      </c>
      <c r="U49" s="1"/>
      <c r="W49" s="2"/>
      <c r="Z49" s="60" t="e">
        <f>VLOOKUP($B49,'[2]Số sổ BHXH T05'!$B$11:$K$11515,10,0)</f>
        <v>#N/A</v>
      </c>
    </row>
    <row r="50" ht="31.5" customHeight="1" spans="1:21" x14ac:dyDescent="0.25">
      <c r="A50" s="35" t="s">
        <v>81</v>
      </c>
      <c r="B50" s="36"/>
      <c r="C50" s="36"/>
      <c r="D50" s="36"/>
      <c r="E50" s="36"/>
      <c r="F50" s="37"/>
      <c r="G50" s="37"/>
      <c r="H50" s="37"/>
      <c r="I50" s="37"/>
      <c r="J50" s="37"/>
      <c r="K50" s="37"/>
      <c r="L50" s="37"/>
      <c r="M50" s="37"/>
      <c r="N50" s="37"/>
      <c r="O50" s="47">
        <f>SUM(O18:O49)</f>
        <v>460</v>
      </c>
      <c r="P50" s="48"/>
      <c r="Q50" s="53"/>
      <c r="R50" s="48"/>
      <c r="S50" s="54"/>
      <c r="T50" s="12"/>
      <c r="U50" s="16"/>
    </row>
    <row r="51" ht="31.5" customHeight="1" spans="1:21" x14ac:dyDescent="0.25">
      <c r="A51" s="62" t="s">
        <v>82</v>
      </c>
      <c r="B51" s="62"/>
      <c r="C51" s="63" t="s">
        <v>83</v>
      </c>
      <c r="D51" s="63"/>
      <c r="E51" s="63"/>
      <c r="F51" s="63"/>
      <c r="G51" s="55" t="s">
        <v>32</v>
      </c>
      <c r="H51" s="55" t="s">
        <v>33</v>
      </c>
      <c r="I51" s="55" t="s">
        <v>34</v>
      </c>
      <c r="J51" s="55" t="s">
        <v>35</v>
      </c>
      <c r="K51" s="55" t="s">
        <v>36</v>
      </c>
      <c r="L51" s="55" t="s">
        <v>37</v>
      </c>
      <c r="M51" s="55" t="s">
        <v>38</v>
      </c>
      <c r="N51" s="55" t="s">
        <v>39</v>
      </c>
      <c r="O51" s="63"/>
      <c r="P51" s="63"/>
      <c r="Q51" s="63"/>
      <c r="R51" s="62"/>
      <c r="S51" s="63"/>
      <c r="T51" s="12"/>
      <c r="U51" s="16"/>
    </row>
    <row r="52" ht="47.25" customHeight="1" spans="1:26" x14ac:dyDescent="0.25">
      <c r="A52" s="47">
        <v>1</v>
      </c>
      <c r="B52" s="56"/>
      <c r="C52" s="57" t="e">
        <f>VLOOKUP($B52,[1]Sheet1!$F$5:$G$69270,2,0)</f>
        <v>#N/A</v>
      </c>
      <c r="D52" s="47" t="e">
        <f>VLOOKUP($B52,'[2]Số sổ BHXH T05'!$B$11:$K$11515,4,0)</f>
        <v>#N/A</v>
      </c>
      <c r="E52" s="58"/>
      <c r="F52" s="58"/>
      <c r="G52" s="59" t="e">
        <f>SUMPRODUCT(--(WEEKDAY(ROW(INDIRECT($E52:$E65&amp;":"&amp;$F52:$F62)),1)=1))</f>
        <v>#REF!</v>
      </c>
      <c r="H52" s="59" t="e">
        <f>SUMPRODUCT(--(WEEKDAY(ROW(INDIRECT($E52:$E65&amp;":"&amp;$F52:$F62)),1)=2))</f>
        <v>#REF!</v>
      </c>
      <c r="I52" s="59" t="e">
        <f>SUMPRODUCT(--(WEEKDAY(ROW(INDIRECT($E52:$E65&amp;":"&amp;$F52:$F62)),1)=3))</f>
        <v>#REF!</v>
      </c>
      <c r="J52" s="59" t="e">
        <f>SUMPRODUCT(--(WEEKDAY(ROW(INDIRECT($E52:$E65&amp;":"&amp;$F52:$F62)),1)=4))</f>
        <v>#REF!</v>
      </c>
      <c r="K52" s="59" t="e">
        <f>SUMPRODUCT(--(WEEKDAY(ROW(INDIRECT($E52:$E65&amp;":"&amp;$F52:$F62)),1)=5))</f>
        <v>#REF!</v>
      </c>
      <c r="L52" s="59" t="e">
        <f>SUMPRODUCT(--(WEEKDAY(ROW(INDIRECT($E52:$E65&amp;":"&amp;$F52:$F62)),1)=6))</f>
        <v>#REF!</v>
      </c>
      <c r="M52" s="59" t="e">
        <f>SUMPRODUCT(--(WEEKDAY(ROW(INDIRECT($E52:$E65&amp;":"&amp;$F52:$F62)),1)=7))</f>
        <v>#REF!</v>
      </c>
      <c r="N52" s="59" t="e">
        <f t="shared" ref="N52:N53" si="17">SUM(H52:M52)</f>
        <v>#REF!</v>
      </c>
      <c r="O52" s="47">
        <f>F52-E52+1</f>
        <v>1</v>
      </c>
      <c r="P52" s="47"/>
      <c r="Q52" s="60" t="e">
        <f>VLOOKUP($B52,'[2]T01.2025'!C38:F7391,4,0)</f>
        <v>#N/A</v>
      </c>
      <c r="R52" s="60"/>
      <c r="S52" s="61"/>
      <c r="T52" s="8" t="s">
        <v>42</v>
      </c>
      <c r="U52" s="1"/>
      <c r="W52" s="2"/>
      <c r="Z52" s="64" t="e">
        <f>VLOOKUP($B52,'[3]Số sổ BHXH T01'!$B$11:$K$9918,10,0)</f>
        <v>#N/A</v>
      </c>
    </row>
    <row r="53" ht="67.5" customHeight="1" spans="1:26" x14ac:dyDescent="0.25">
      <c r="A53" s="47">
        <v>2</v>
      </c>
      <c r="B53" s="56"/>
      <c r="C53" s="57" t="e">
        <f>VLOOKUP($B53,[1]Sheet1!$F$5:$G$69270,2,0)</f>
        <v>#N/A</v>
      </c>
      <c r="D53" s="47" t="e">
        <f>VLOOKUP($B53,'[2]Số sổ BHXH T05'!$B$11:$K$11515,4,0)</f>
        <v>#N/A</v>
      </c>
      <c r="E53" s="58"/>
      <c r="F53" s="58"/>
      <c r="G53" s="59" t="e">
        <f>SUMPRODUCT(--(WEEKDAY(ROW(INDIRECT($E53:$E66&amp;":"&amp;$F53:$F64)),1)=1))</f>
        <v>#REF!</v>
      </c>
      <c r="H53" s="59" t="e">
        <f>SUMPRODUCT(--(WEEKDAY(ROW(INDIRECT($E53:$E66&amp;":"&amp;$F53:$F64)),1)=2))</f>
        <v>#REF!</v>
      </c>
      <c r="I53" s="59" t="e">
        <f>SUMPRODUCT(--(WEEKDAY(ROW(INDIRECT($E53:$E66&amp;":"&amp;$F53:$F64)),1)=3))</f>
        <v>#REF!</v>
      </c>
      <c r="J53" s="59" t="e">
        <f>SUMPRODUCT(--(WEEKDAY(ROW(INDIRECT($E53:$E66&amp;":"&amp;$F53:$F64)),1)=4))</f>
        <v>#REF!</v>
      </c>
      <c r="K53" s="59" t="e">
        <f>SUMPRODUCT(--(WEEKDAY(ROW(INDIRECT($E53:$E66&amp;":"&amp;$F53:$F64)),1)=5))</f>
        <v>#REF!</v>
      </c>
      <c r="L53" s="59" t="e">
        <f>SUMPRODUCT(--(WEEKDAY(ROW(INDIRECT($E53:$E66&amp;":"&amp;$F53:$F64)),1)=6))</f>
        <v>#REF!</v>
      </c>
      <c r="M53" s="59" t="e">
        <f>SUMPRODUCT(--(WEEKDAY(ROW(INDIRECT($E53:$E66&amp;":"&amp;$F53:$F64)),1)=7))</f>
        <v>#REF!</v>
      </c>
      <c r="N53" s="59" t="e">
        <f t="shared" si="17"/>
        <v>#REF!</v>
      </c>
      <c r="O53" s="47">
        <f>F53-E53+1</f>
        <v>1</v>
      </c>
      <c r="P53" s="47"/>
      <c r="Q53" s="60" t="e">
        <f>VLOOKUP($B53,'[2]T01.2025'!C39:F7392,4,0)</f>
        <v>#N/A</v>
      </c>
      <c r="R53" s="60"/>
      <c r="S53" s="61"/>
      <c r="T53" s="8" t="s">
        <v>42</v>
      </c>
      <c r="U53" s="1"/>
      <c r="W53" s="2"/>
      <c r="Z53" s="64" t="e">
        <f>VLOOKUP($B53,'[3]Số sổ BHXH T01'!$B$11:$K$9918,10,0)</f>
        <v>#N/A</v>
      </c>
    </row>
    <row r="54" ht="31.5" customHeight="1" spans="1:21" x14ac:dyDescent="0.25">
      <c r="A54" s="35" t="s">
        <v>81</v>
      </c>
      <c r="B54" s="36"/>
      <c r="C54" s="36"/>
      <c r="D54" s="36"/>
      <c r="E54" s="36"/>
      <c r="F54" s="37"/>
      <c r="G54" s="37"/>
      <c r="H54" s="37"/>
      <c r="I54" s="37"/>
      <c r="J54" s="37"/>
      <c r="K54" s="37"/>
      <c r="L54" s="37"/>
      <c r="M54" s="37"/>
      <c r="N54" s="37"/>
      <c r="O54" s="48">
        <f>SUM(O52:O53)</f>
        <v>2</v>
      </c>
      <c r="P54" s="48"/>
      <c r="Q54" s="53"/>
      <c r="R54" s="48"/>
      <c r="S54" s="54"/>
      <c r="T54" s="12"/>
      <c r="U54" s="16"/>
    </row>
    <row r="55" ht="31.5" customHeight="1" spans="1:21" x14ac:dyDescent="0.25">
      <c r="A55" s="48" t="s">
        <v>84</v>
      </c>
      <c r="B55" s="49"/>
      <c r="C55" s="51" t="s">
        <v>85</v>
      </c>
      <c r="D55" s="54"/>
      <c r="E55" s="54"/>
      <c r="F55" s="54"/>
      <c r="G55" s="54"/>
      <c r="H55" s="54"/>
      <c r="I55" s="54"/>
      <c r="J55" s="54"/>
      <c r="K55" s="54"/>
      <c r="L55" s="54"/>
      <c r="M55" s="54"/>
      <c r="N55" s="54"/>
      <c r="O55" s="54"/>
      <c r="P55" s="54"/>
      <c r="Q55" s="53"/>
      <c r="R55" s="48"/>
      <c r="S55" s="54"/>
      <c r="T55" s="12"/>
      <c r="U55" s="16"/>
    </row>
    <row r="56" ht="31.5" customHeight="1" spans="1:21" x14ac:dyDescent="0.25">
      <c r="A56" s="48" t="s">
        <v>86</v>
      </c>
      <c r="B56" s="49"/>
      <c r="C56" s="65" t="s">
        <v>87</v>
      </c>
      <c r="D56" s="48"/>
      <c r="E56" s="52"/>
      <c r="F56" s="52"/>
      <c r="G56" s="55" t="s">
        <v>32</v>
      </c>
      <c r="H56" s="55" t="s">
        <v>33</v>
      </c>
      <c r="I56" s="55" t="s">
        <v>34</v>
      </c>
      <c r="J56" s="55" t="s">
        <v>35</v>
      </c>
      <c r="K56" s="55" t="s">
        <v>36</v>
      </c>
      <c r="L56" s="55" t="s">
        <v>37</v>
      </c>
      <c r="M56" s="55" t="s">
        <v>38</v>
      </c>
      <c r="N56" s="55" t="s">
        <v>39</v>
      </c>
      <c r="O56" s="48"/>
      <c r="P56" s="48"/>
      <c r="Q56" s="66"/>
      <c r="R56" s="48"/>
      <c r="S56" s="54"/>
      <c r="T56" s="12"/>
      <c r="U56" s="16"/>
    </row>
    <row r="57" ht="33.75" customHeight="1" spans="1:23" x14ac:dyDescent="0.25">
      <c r="A57" s="47">
        <v>1</v>
      </c>
      <c r="B57" s="56" t="s">
        <v>88</v>
      </c>
      <c r="C57" s="57" t="str">
        <f>VLOOKUP($B57,[1]Sheet1!$F$5:$G$58270,2,0)</f>
        <v>NGUYỄN THỊ THU HẰNG</v>
      </c>
      <c r="D57" s="47" t="str">
        <f>VLOOKUP($B57,'[2]Số sổ BHXH T05'!$B$11:$K$11515,4,0)</f>
        <v>2421854603</v>
      </c>
      <c r="E57" s="58">
        <v>45974</v>
      </c>
      <c r="F57" s="58">
        <v>45978</v>
      </c>
      <c r="G57" s="59">
        <f>SUMPRODUCT(--(WEEKDAY(ROW(INDIRECT($E50:$E92&amp;":"&amp;$F50:$F83)),1)=1))</f>
        <v>1</v>
      </c>
      <c r="H57" s="59">
        <f>SUMPRODUCT(--(WEEKDAY(ROW(INDIRECT($E50:$E92&amp;":"&amp;$F50:$F83)),1)=2))</f>
        <v>1</v>
      </c>
      <c r="I57" s="59">
        <f>SUMPRODUCT(--(WEEKDAY(ROW(INDIRECT($E50:$E92&amp;":"&amp;$F50:$F83)),1)=3))</f>
        <v>0</v>
      </c>
      <c r="J57" s="59">
        <f>SUMPRODUCT(--(WEEKDAY(ROW(INDIRECT($E50:$E92&amp;":"&amp;$F50:$F83)),1)=4))</f>
        <v>0</v>
      </c>
      <c r="K57" s="59">
        <f>SUMPRODUCT(--(WEEKDAY(ROW(INDIRECT($E50:$E92&amp;":"&amp;$F50:$F83)),1)=5))</f>
        <v>1</v>
      </c>
      <c r="L57" s="59">
        <f>SUMPRODUCT(--(WEEKDAY(ROW(INDIRECT($E50:$E92&amp;":"&amp;$F50:$F83)),1)=6))</f>
        <v>1</v>
      </c>
      <c r="M57" s="59">
        <f>SUMPRODUCT(--(WEEKDAY(ROW(INDIRECT($E50:$E92&amp;":"&amp;$F50:$F83)),1)=7))</f>
        <v>1</v>
      </c>
      <c r="N57" s="59">
        <f>SUM(H57:M57)</f>
        <v>4</v>
      </c>
      <c r="O57" s="47">
        <f t="shared" ref="O57:O67" si="18">F57-E57+1</f>
        <v>5</v>
      </c>
      <c r="P57" s="47"/>
      <c r="Q57" s="60" t="str">
        <f>VLOOKUP($B57,'[2]T01.2025'!C45:F7398,4,0)</f>
        <v>1027699187</v>
      </c>
      <c r="R57" s="67"/>
      <c r="S57" s="68"/>
      <c r="T57" s="8" t="s">
        <v>85</v>
      </c>
      <c r="U57" s="1" t="s">
        <v>89</v>
      </c>
      <c r="W57" s="2"/>
    </row>
    <row r="58" ht="33.75" customHeight="1" spans="1:23" x14ac:dyDescent="0.25">
      <c r="A58" s="47">
        <v>2</v>
      </c>
      <c r="B58" s="56" t="s">
        <v>90</v>
      </c>
      <c r="C58" s="57" t="str">
        <f>VLOOKUP($B58,[1]Sheet1!$F$5:$G$58270,2,0)</f>
        <v>VI THỊ HOAN</v>
      </c>
      <c r="D58" s="47" t="str">
        <f>VLOOKUP($B58,'[2]Số sổ BHXH T05'!$B$11:$K$11515,4,0)</f>
        <v>2420144197</v>
      </c>
      <c r="E58" s="58">
        <v>45970</v>
      </c>
      <c r="F58" s="58">
        <v>45975</v>
      </c>
      <c r="G58" s="59">
        <f>SUMPRODUCT(--(WEEKDAY(ROW(INDIRECT($E58:$E89&amp;":"&amp;$F58:$F84)),1)=1))</f>
        <v>1</v>
      </c>
      <c r="H58" s="59">
        <f>SUMPRODUCT(--(WEEKDAY(ROW(INDIRECT($E58:$E89&amp;":"&amp;$F58:$F84)),1)=2))</f>
        <v>1</v>
      </c>
      <c r="I58" s="59">
        <f>SUMPRODUCT(--(WEEKDAY(ROW(INDIRECT($E58:$E89&amp;":"&amp;$F58:$F84)),1)=3))</f>
        <v>1</v>
      </c>
      <c r="J58" s="59">
        <f>SUMPRODUCT(--(WEEKDAY(ROW(INDIRECT($E58:$E89&amp;":"&amp;$F58:$F84)),1)=4))</f>
        <v>1</v>
      </c>
      <c r="K58" s="59">
        <f>SUMPRODUCT(--(WEEKDAY(ROW(INDIRECT($E58:$E89&amp;":"&amp;$F58:$F84)),1)=5))</f>
        <v>1</v>
      </c>
      <c r="L58" s="59">
        <f>SUMPRODUCT(--(WEEKDAY(ROW(INDIRECT($E58:$E89&amp;":"&amp;$F58:$F84)),1)=6))</f>
        <v>1</v>
      </c>
      <c r="M58" s="59">
        <f>SUMPRODUCT(--(WEEKDAY(ROW(INDIRECT($E58:$E89&amp;":"&amp;$F58:$F84)),1)=7))</f>
        <v>0</v>
      </c>
      <c r="N58" s="59">
        <f t="shared" ref="N58:N66" si="19">SUM(H58:M58)</f>
        <v>5</v>
      </c>
      <c r="O58" s="47">
        <f t="shared" si="18"/>
        <v>6</v>
      </c>
      <c r="P58" s="47"/>
      <c r="Q58" s="60" t="str">
        <f>VLOOKUP($B58,'[2]T01.2025'!C46:F7399,4,0)</f>
        <v>1017000430</v>
      </c>
      <c r="R58" s="67"/>
      <c r="S58" s="61"/>
      <c r="T58" s="8" t="s">
        <v>85</v>
      </c>
      <c r="U58" s="1" t="s">
        <v>89</v>
      </c>
      <c r="W58" s="2"/>
    </row>
    <row r="59" ht="33.75" customHeight="1" spans="1:23" x14ac:dyDescent="0.25">
      <c r="A59" s="47">
        <v>3</v>
      </c>
      <c r="B59" s="56" t="s">
        <v>91</v>
      </c>
      <c r="C59" s="57" t="str">
        <f>VLOOKUP($B59,[1]Sheet1!$F$5:$G$50270,2,0)</f>
        <v>NGUYỄN THỊ CÚC</v>
      </c>
      <c r="D59" s="47" t="str">
        <f>VLOOKUP($B59,'[2]Số sổ BHXH T05'!$B$11:$K$11515,4,0)</f>
        <v>2715094389</v>
      </c>
      <c r="E59" s="58">
        <v>45979</v>
      </c>
      <c r="F59" s="58">
        <v>45979</v>
      </c>
      <c r="G59" s="59">
        <f>SUMPRODUCT(--(WEEKDAY(ROW(INDIRECT($E59:$E90&amp;":"&amp;$F59:$F85)),1)=1))</f>
        <v>0</v>
      </c>
      <c r="H59" s="59">
        <f>SUMPRODUCT(--(WEEKDAY(ROW(INDIRECT($E59:$E90&amp;":"&amp;$F59:$F85)),1)=2))</f>
        <v>0</v>
      </c>
      <c r="I59" s="59">
        <f>SUMPRODUCT(--(WEEKDAY(ROW(INDIRECT($E59:$E90&amp;":"&amp;$F59:$F85)),1)=3))</f>
        <v>1</v>
      </c>
      <c r="J59" s="59">
        <f>SUMPRODUCT(--(WEEKDAY(ROW(INDIRECT($E59:$E90&amp;":"&amp;$F59:$F85)),1)=4))</f>
        <v>0</v>
      </c>
      <c r="K59" s="59">
        <f>SUMPRODUCT(--(WEEKDAY(ROW(INDIRECT($E59:$E90&amp;":"&amp;$F59:$F85)),1)=5))</f>
        <v>0</v>
      </c>
      <c r="L59" s="59">
        <f>SUMPRODUCT(--(WEEKDAY(ROW(INDIRECT($E59:$E90&amp;":"&amp;$F59:$F85)),1)=6))</f>
        <v>0</v>
      </c>
      <c r="M59" s="59">
        <f>SUMPRODUCT(--(WEEKDAY(ROW(INDIRECT($E59:$E90&amp;":"&amp;$F59:$F85)),1)=7))</f>
        <v>0</v>
      </c>
      <c r="N59" s="59">
        <f t="shared" si="19"/>
        <v>1</v>
      </c>
      <c r="O59" s="47">
        <f t="shared" si="18"/>
        <v>1</v>
      </c>
      <c r="P59" s="47"/>
      <c r="Q59" s="60" t="str">
        <f>VLOOKUP($B59,'[2]T01.2025'!C47:F7400,4,0)</f>
        <v>1023317930</v>
      </c>
      <c r="R59" s="67"/>
      <c r="S59" s="61"/>
      <c r="T59" s="8" t="s">
        <v>85</v>
      </c>
      <c r="U59" s="1" t="s">
        <v>92</v>
      </c>
      <c r="W59" s="2"/>
    </row>
    <row r="60" ht="33.75" customHeight="1" spans="1:23" x14ac:dyDescent="0.25">
      <c r="A60" s="47">
        <v>4</v>
      </c>
      <c r="B60" s="56" t="s">
        <v>93</v>
      </c>
      <c r="C60" s="57" t="str">
        <f>VLOOKUP($B60,[1]Sheet1!$F$5:$G$50270,2,0)</f>
        <v>HOÀNG THỊ NĂM</v>
      </c>
      <c r="D60" s="47" t="str">
        <f>VLOOKUP($B60,'[2]Số sổ BHXH T05'!$B$11:$K$11515,4,0)</f>
        <v>2416067845</v>
      </c>
      <c r="E60" s="58">
        <v>45975</v>
      </c>
      <c r="F60" s="58">
        <v>45979</v>
      </c>
      <c r="G60" s="59">
        <f>SUMPRODUCT(--(WEEKDAY(ROW(INDIRECT($E60:$E93&amp;":"&amp;$F60:$F87)),1)=1))</f>
        <v>1</v>
      </c>
      <c r="H60" s="59">
        <f>SUMPRODUCT(--(WEEKDAY(ROW(INDIRECT($E60:$E93&amp;":"&amp;$F60:$F87)),1)=2))</f>
        <v>1</v>
      </c>
      <c r="I60" s="59">
        <f>SUMPRODUCT(--(WEEKDAY(ROW(INDIRECT($E60:$E93&amp;":"&amp;$F60:$F87)),1)=3))</f>
        <v>1</v>
      </c>
      <c r="J60" s="59">
        <f>SUMPRODUCT(--(WEEKDAY(ROW(INDIRECT($E60:$E93&amp;":"&amp;$F60:$F87)),1)=4))</f>
        <v>0</v>
      </c>
      <c r="K60" s="59">
        <f>SUMPRODUCT(--(WEEKDAY(ROW(INDIRECT($E60:$E93&amp;":"&amp;$F60:$F87)),1)=5))</f>
        <v>0</v>
      </c>
      <c r="L60" s="59">
        <f>SUMPRODUCT(--(WEEKDAY(ROW(INDIRECT($E60:$E93&amp;":"&amp;$F60:$F87)),1)=6))</f>
        <v>1</v>
      </c>
      <c r="M60" s="59">
        <f>SUMPRODUCT(--(WEEKDAY(ROW(INDIRECT($E60:$E93&amp;":"&amp;$F60:$F87)),1)=7))</f>
        <v>1</v>
      </c>
      <c r="N60" s="59">
        <f t="shared" si="19"/>
        <v>4</v>
      </c>
      <c r="O60" s="47">
        <f t="shared" si="18"/>
        <v>5</v>
      </c>
      <c r="P60" s="47"/>
      <c r="Q60" s="60" t="str">
        <f>VLOOKUP($B60,'[2]T01.2025'!C49:F7402,4,0)</f>
        <v>0351000997079</v>
      </c>
      <c r="R60" s="67"/>
      <c r="S60" s="61"/>
      <c r="T60" s="8" t="s">
        <v>85</v>
      </c>
      <c r="U60" s="1" t="s">
        <v>89</v>
      </c>
      <c r="W60" s="2"/>
    </row>
    <row r="61" ht="33.75" customHeight="1" spans="1:23" x14ac:dyDescent="0.25">
      <c r="A61" s="47">
        <v>5</v>
      </c>
      <c r="B61" s="56" t="s">
        <v>94</v>
      </c>
      <c r="C61" s="57" t="str">
        <f>VLOOKUP($B61,[1]Sheet1!$F$5:$G$50270,2,0)</f>
        <v>TẠ THỊ THẢO</v>
      </c>
      <c r="D61" s="47" t="str">
        <f>VLOOKUP($B61,'[2]Số sổ BHXH T05'!$B$11:$K$11515,4,0)</f>
        <v>2416089906</v>
      </c>
      <c r="E61" s="58">
        <v>45968</v>
      </c>
      <c r="F61" s="58">
        <v>45979</v>
      </c>
      <c r="G61" s="59">
        <f>SUMPRODUCT(--(WEEKDAY(ROW(INDIRECT($E50:$E77&amp;":"&amp;$F50:$F67)),1)=1))</f>
        <v>2</v>
      </c>
      <c r="H61" s="59">
        <f>SUMPRODUCT(--(WEEKDAY(ROW(INDIRECT($E50:$E77&amp;":"&amp;$F50:$F67)),1)=2))</f>
        <v>2</v>
      </c>
      <c r="I61" s="59">
        <f>SUMPRODUCT(--(WEEKDAY(ROW(INDIRECT($E50:$E77&amp;":"&amp;$F50:$F67)),1)=3))</f>
        <v>2</v>
      </c>
      <c r="J61" s="59">
        <f>SUMPRODUCT(--(WEEKDAY(ROW(INDIRECT($E50:$E77&amp;":"&amp;$F50:$F67)),1)=4))</f>
        <v>1</v>
      </c>
      <c r="K61" s="59">
        <f>SUMPRODUCT(--(WEEKDAY(ROW(INDIRECT($E50:$E77&amp;":"&amp;$F50:$F67)),1)=5))</f>
        <v>1</v>
      </c>
      <c r="L61" s="59">
        <f>SUMPRODUCT(--(WEEKDAY(ROW(INDIRECT($E50:$E77&amp;":"&amp;$F50:$F67)),1)=6))</f>
        <v>2</v>
      </c>
      <c r="M61" s="59">
        <f>SUMPRODUCT(--(WEEKDAY(ROW(INDIRECT($E50:$E77&amp;":"&amp;$F50:$F67)),1)=7))</f>
        <v>2</v>
      </c>
      <c r="N61" s="59">
        <f>SUM(H61:M61)</f>
        <v>10</v>
      </c>
      <c r="O61" s="47">
        <f t="shared" si="18"/>
        <v>12</v>
      </c>
      <c r="P61" s="47"/>
      <c r="Q61" s="60" t="str">
        <f>VLOOKUP($B61,'[2]T01.2025'!C54:F7407,4,0)</f>
        <v>0351001032772</v>
      </c>
      <c r="R61" s="60"/>
      <c r="S61" s="61"/>
      <c r="T61" s="8" t="s">
        <v>85</v>
      </c>
      <c r="U61" s="1" t="s">
        <v>89</v>
      </c>
      <c r="W61" s="2"/>
    </row>
    <row r="62" ht="66" customHeight="1" spans="1:23" x14ac:dyDescent="0.25">
      <c r="A62" s="47">
        <v>6</v>
      </c>
      <c r="B62" s="56" t="s">
        <v>95</v>
      </c>
      <c r="C62" s="57" t="str">
        <f>VLOOKUP($B62,[1]Sheet1!$F$5:$G$50270,2,0)</f>
        <v>NGUYỄN THỊ MẬN</v>
      </c>
      <c r="D62" s="47" t="str">
        <f>VLOOKUP($B62,'[2]Số sổ BHXH T05'!$B$11:$K$11515,4,0)</f>
        <v>2414039022</v>
      </c>
      <c r="E62" s="58">
        <v>45974</v>
      </c>
      <c r="F62" s="58">
        <v>45979</v>
      </c>
      <c r="G62" s="59">
        <f>SUMPRODUCT(--(WEEKDAY(ROW(INDIRECT($E62:$E93&amp;":"&amp;$F62:$F88)),1)=1))</f>
        <v>1</v>
      </c>
      <c r="H62" s="59">
        <f>SUMPRODUCT(--(WEEKDAY(ROW(INDIRECT($E62:$E93&amp;":"&amp;$F62:$F88)),1)=2))</f>
        <v>1</v>
      </c>
      <c r="I62" s="59">
        <f>SUMPRODUCT(--(WEEKDAY(ROW(INDIRECT($E62:$E93&amp;":"&amp;$F62:$F88)),1)=3))</f>
        <v>1</v>
      </c>
      <c r="J62" s="59">
        <f>SUMPRODUCT(--(WEEKDAY(ROW(INDIRECT($E62:$E93&amp;":"&amp;$F62:$F88)),1)=4))</f>
        <v>0</v>
      </c>
      <c r="K62" s="59">
        <f>SUMPRODUCT(--(WEEKDAY(ROW(INDIRECT($E62:$E93&amp;":"&amp;$F62:$F88)),1)=5))</f>
        <v>1</v>
      </c>
      <c r="L62" s="59">
        <f>SUMPRODUCT(--(WEEKDAY(ROW(INDIRECT($E62:$E93&amp;":"&amp;$F62:$F88)),1)=6))</f>
        <v>1</v>
      </c>
      <c r="M62" s="59">
        <f>SUMPRODUCT(--(WEEKDAY(ROW(INDIRECT($E62:$E93&amp;":"&amp;$F62:$F88)),1)=7))</f>
        <v>1</v>
      </c>
      <c r="N62" s="59">
        <f t="shared" si="19"/>
        <v>5</v>
      </c>
      <c r="O62" s="47">
        <f t="shared" si="18"/>
        <v>6</v>
      </c>
      <c r="P62" s="47"/>
      <c r="Q62" s="60" t="str">
        <f>VLOOKUP($B62,'[2]T01.2025'!C55:F7408,4,0)</f>
        <v>0731000836704</v>
      </c>
      <c r="R62" s="67"/>
      <c r="S62" s="61"/>
      <c r="T62" s="8" t="s">
        <v>85</v>
      </c>
      <c r="U62" s="1" t="s">
        <v>89</v>
      </c>
      <c r="W62" s="2"/>
    </row>
    <row r="63" ht="37.5" customHeight="1" spans="1:23" x14ac:dyDescent="0.25">
      <c r="A63" s="47">
        <v>7</v>
      </c>
      <c r="B63" s="56" t="s">
        <v>96</v>
      </c>
      <c r="C63" s="57" t="str">
        <f>VLOOKUP($B63,[1]Sheet1!$F$5:$G$50270,2,0)</f>
        <v>TẠ THỊ THU TRANG</v>
      </c>
      <c r="D63" s="47" t="str">
        <f>VLOOKUP($B63,'[2]Số sổ BHXH T05'!$B$11:$K$11515,4,0)</f>
        <v>2421618007</v>
      </c>
      <c r="E63" s="58">
        <v>45982</v>
      </c>
      <c r="F63" s="58">
        <v>45982</v>
      </c>
      <c r="G63" s="59">
        <f>SUMPRODUCT(--(WEEKDAY(ROW(INDIRECT($E63:$E94&amp;":"&amp;$F63:$F90)),1)=1))</f>
        <v>0</v>
      </c>
      <c r="H63" s="59">
        <f>SUMPRODUCT(--(WEEKDAY(ROW(INDIRECT($E63:$E94&amp;":"&amp;$F63:$F90)),1)=2))</f>
        <v>0</v>
      </c>
      <c r="I63" s="59">
        <f>SUMPRODUCT(--(WEEKDAY(ROW(INDIRECT($E63:$E94&amp;":"&amp;$F63:$F90)),1)=3))</f>
        <v>0</v>
      </c>
      <c r="J63" s="59">
        <f>SUMPRODUCT(--(WEEKDAY(ROW(INDIRECT($E63:$E94&amp;":"&amp;$F63:$F90)),1)=4))</f>
        <v>0</v>
      </c>
      <c r="K63" s="59">
        <f>SUMPRODUCT(--(WEEKDAY(ROW(INDIRECT($E63:$E94&amp;":"&amp;$F63:$F90)),1)=5))</f>
        <v>0</v>
      </c>
      <c r="L63" s="59">
        <f>SUMPRODUCT(--(WEEKDAY(ROW(INDIRECT($E63:$E94&amp;":"&amp;$F63:$F90)),1)=6))</f>
        <v>1</v>
      </c>
      <c r="M63" s="59">
        <f>SUMPRODUCT(--(WEEKDAY(ROW(INDIRECT($E63:$E94&amp;":"&amp;$F63:$F90)),1)=7))</f>
        <v>0</v>
      </c>
      <c r="N63" s="59">
        <f>SUM(H63:M63)</f>
        <v>1</v>
      </c>
      <c r="O63" s="47">
        <f t="shared" si="18"/>
        <v>1</v>
      </c>
      <c r="P63" s="47"/>
      <c r="Q63" s="60" t="str">
        <f>VLOOKUP($B63,'[2]T01.2025'!C56:F7409,4,0)</f>
        <v>0731000831043</v>
      </c>
      <c r="R63" s="67"/>
      <c r="S63" s="61"/>
      <c r="T63" s="8" t="s">
        <v>85</v>
      </c>
      <c r="U63" s="1" t="s">
        <v>92</v>
      </c>
      <c r="W63" s="2"/>
    </row>
    <row r="64" ht="37.5" customHeight="1" spans="1:23" x14ac:dyDescent="0.25">
      <c r="A64" s="47">
        <v>8</v>
      </c>
      <c r="B64" s="56" t="s">
        <v>97</v>
      </c>
      <c r="C64" s="57" t="str">
        <f>VLOOKUP($B64,[1]Sheet1!$F$5:$G$50270,2,0)</f>
        <v>LÝ DÀO PU</v>
      </c>
      <c r="D64" s="47" t="str">
        <f>VLOOKUP($B64,'[2]Số sổ BHXH T05'!$B$11:$K$11515,4,0)</f>
        <v>0420464343</v>
      </c>
      <c r="E64" s="58">
        <v>45970</v>
      </c>
      <c r="F64" s="58">
        <v>45973</v>
      </c>
      <c r="G64" s="59">
        <f>SUMPRODUCT(--(WEEKDAY(ROW(INDIRECT($E64:$E94&amp;":"&amp;$F64:$F89)),1)=1))</f>
        <v>1</v>
      </c>
      <c r="H64" s="59">
        <f>SUMPRODUCT(--(WEEKDAY(ROW(INDIRECT($E64:$E94&amp;":"&amp;$F64:$F89)),1)=2))</f>
        <v>1</v>
      </c>
      <c r="I64" s="59">
        <f>SUMPRODUCT(--(WEEKDAY(ROW(INDIRECT($E64:$E94&amp;":"&amp;$F64:$F89)),1)=3))</f>
        <v>1</v>
      </c>
      <c r="J64" s="59">
        <f>SUMPRODUCT(--(WEEKDAY(ROW(INDIRECT($E64:$E94&amp;":"&amp;$F64:$F89)),1)=4))</f>
        <v>1</v>
      </c>
      <c r="K64" s="59">
        <f>SUMPRODUCT(--(WEEKDAY(ROW(INDIRECT($E64:$E94&amp;":"&amp;$F64:$F89)),1)=5))</f>
        <v>0</v>
      </c>
      <c r="L64" s="59">
        <f>SUMPRODUCT(--(WEEKDAY(ROW(INDIRECT($E64:$E94&amp;":"&amp;$F64:$F89)),1)=6))</f>
        <v>0</v>
      </c>
      <c r="M64" s="59">
        <f>SUMPRODUCT(--(WEEKDAY(ROW(INDIRECT($E64:$E94&amp;":"&amp;$F64:$F89)),1)=7))</f>
        <v>0</v>
      </c>
      <c r="N64" s="59">
        <f t="shared" si="19"/>
        <v>3</v>
      </c>
      <c r="O64" s="47">
        <f t="shared" si="18"/>
        <v>4</v>
      </c>
      <c r="P64" s="47"/>
      <c r="Q64" s="60" t="str">
        <f>VLOOKUP($B64,'[2]T01.2025'!C57:F7410,4,0)</f>
        <v>1059047241</v>
      </c>
      <c r="R64" s="67"/>
      <c r="S64" s="61"/>
      <c r="T64" s="8" t="s">
        <v>85</v>
      </c>
      <c r="U64" s="1" t="s">
        <v>89</v>
      </c>
      <c r="W64" s="2"/>
    </row>
    <row r="65" ht="37.5" customHeight="1" spans="1:23" x14ac:dyDescent="0.25">
      <c r="A65" s="47">
        <v>9</v>
      </c>
      <c r="B65" s="56" t="s">
        <v>98</v>
      </c>
      <c r="C65" s="57" t="str">
        <f>VLOOKUP($B65,[1]Sheet1!$F$5:$G$50270,2,0)</f>
        <v>ĐỖ THỊ QUYÊN</v>
      </c>
      <c r="D65" s="47" t="str">
        <f>VLOOKUP($B65,'[2]Số sổ BHXH T05'!$B$11:$K$11515,4,0)</f>
        <v>2414028655</v>
      </c>
      <c r="E65" s="58">
        <v>45974</v>
      </c>
      <c r="F65" s="58">
        <v>45978</v>
      </c>
      <c r="G65" s="59">
        <f>SUMPRODUCT(--(WEEKDAY(ROW(INDIRECT($E65:$E94&amp;":"&amp;$F65:$F93)),1)=1))</f>
        <v>1</v>
      </c>
      <c r="H65" s="59">
        <f>SUMPRODUCT(--(WEEKDAY(ROW(INDIRECT($E65:$E94&amp;":"&amp;$F65:$F93)),1)=2))</f>
        <v>1</v>
      </c>
      <c r="I65" s="59">
        <f>SUMPRODUCT(--(WEEKDAY(ROW(INDIRECT($E65:$E94&amp;":"&amp;$F65:$F93)),1)=3))</f>
        <v>0</v>
      </c>
      <c r="J65" s="59">
        <f>SUMPRODUCT(--(WEEKDAY(ROW(INDIRECT($E65:$E94&amp;":"&amp;$F65:$F93)),1)=4))</f>
        <v>0</v>
      </c>
      <c r="K65" s="59">
        <f>SUMPRODUCT(--(WEEKDAY(ROW(INDIRECT($E65:$E94&amp;":"&amp;$F65:$F93)),1)=5))</f>
        <v>1</v>
      </c>
      <c r="L65" s="59">
        <f>SUMPRODUCT(--(WEEKDAY(ROW(INDIRECT($E65:$E94&amp;":"&amp;$F65:$F93)),1)=6))</f>
        <v>1</v>
      </c>
      <c r="M65" s="59">
        <f>SUMPRODUCT(--(WEEKDAY(ROW(INDIRECT($E65:$E94&amp;":"&amp;$F65:$F93)),1)=7))</f>
        <v>1</v>
      </c>
      <c r="N65" s="59">
        <f t="shared" si="19"/>
        <v>4</v>
      </c>
      <c r="O65" s="47">
        <f t="shared" si="18"/>
        <v>5</v>
      </c>
      <c r="P65" s="47"/>
      <c r="Q65" s="60" t="str">
        <f>VLOOKUP($B65,'[2]T01.2025'!C58:F7411,4,0)</f>
        <v>0351000926818</v>
      </c>
      <c r="R65" s="67"/>
      <c r="S65" s="61"/>
      <c r="T65" s="8" t="s">
        <v>85</v>
      </c>
      <c r="U65" s="1" t="s">
        <v>89</v>
      </c>
      <c r="W65" s="2"/>
    </row>
    <row r="66" ht="37.5" customHeight="1" spans="1:23" x14ac:dyDescent="0.25">
      <c r="A66" s="47">
        <v>10</v>
      </c>
      <c r="B66" s="56" t="s">
        <v>99</v>
      </c>
      <c r="C66" s="57" t="str">
        <f>VLOOKUP($B66,[1]Sheet1!$F$5:$G$50270,2,0)</f>
        <v>NGUYỄN THỊ CHINH</v>
      </c>
      <c r="D66" s="47" t="str">
        <f>VLOOKUP($B66,'[2]Số sổ BHXH T05'!$B$11:$K$11515,4,0)</f>
        <v>8506002955</v>
      </c>
      <c r="E66" s="58">
        <v>45979</v>
      </c>
      <c r="F66" s="58">
        <v>45981</v>
      </c>
      <c r="G66" s="59">
        <f>SUMPRODUCT(--(WEEKDAY(ROW(INDIRECT($E66:$E94&amp;":"&amp;$F66:$F93)),1)=1))</f>
        <v>0</v>
      </c>
      <c r="H66" s="59">
        <f>SUMPRODUCT(--(WEEKDAY(ROW(INDIRECT($E66:$E94&amp;":"&amp;$F66:$F93)),1)=2))</f>
        <v>0</v>
      </c>
      <c r="I66" s="59">
        <f>SUMPRODUCT(--(WEEKDAY(ROW(INDIRECT($E66:$E94&amp;":"&amp;$F66:$F93)),1)=3))</f>
        <v>1</v>
      </c>
      <c r="J66" s="59">
        <f>SUMPRODUCT(--(WEEKDAY(ROW(INDIRECT($E66:$E94&amp;":"&amp;$F66:$F93)),1)=4))</f>
        <v>1</v>
      </c>
      <c r="K66" s="59">
        <f>SUMPRODUCT(--(WEEKDAY(ROW(INDIRECT($E66:$E94&amp;":"&amp;$F66:$F93)),1)=5))</f>
        <v>1</v>
      </c>
      <c r="L66" s="59">
        <f>SUMPRODUCT(--(WEEKDAY(ROW(INDIRECT($E66:$E94&amp;":"&amp;$F66:$F93)),1)=6))</f>
        <v>0</v>
      </c>
      <c r="M66" s="59">
        <f>SUMPRODUCT(--(WEEKDAY(ROW(INDIRECT($E66:$E94&amp;":"&amp;$F66:$F93)),1)=7))</f>
        <v>0</v>
      </c>
      <c r="N66" s="59">
        <f t="shared" si="19"/>
        <v>3</v>
      </c>
      <c r="O66" s="47">
        <f t="shared" si="18"/>
        <v>3</v>
      </c>
      <c r="P66" s="47"/>
      <c r="Q66" s="60" t="str">
        <f>VLOOKUP($B66,'[2]T01.2025'!C59:F7412,4,0)</f>
        <v>0351000780078</v>
      </c>
      <c r="R66" s="67"/>
      <c r="S66" s="61" t="s">
        <v>100</v>
      </c>
      <c r="T66" s="8" t="s">
        <v>85</v>
      </c>
      <c r="U66" s="1" t="s">
        <v>89</v>
      </c>
      <c r="W66" s="2"/>
    </row>
    <row r="67" ht="37.5" customHeight="1" spans="1:23" x14ac:dyDescent="0.25">
      <c r="A67" s="47">
        <v>11</v>
      </c>
      <c r="B67" s="56"/>
      <c r="C67" s="57" t="e">
        <f>VLOOKUP($B67,[1]Sheet1!$F$5:$G$50270,2,0)</f>
        <v>#N/A</v>
      </c>
      <c r="D67" s="47" t="e">
        <f>VLOOKUP($B67,'[2]Số sổ BHXH T05'!$B$11:$K$11515,4,0)</f>
        <v>#N/A</v>
      </c>
      <c r="E67" s="58"/>
      <c r="F67" s="58"/>
      <c r="G67" s="59" t="e">
        <f>SUMPRODUCT(--(WEEKDAY(ROW(INDIRECT($E67:$E97&amp;":"&amp;$F67:$F94)),1)=1))</f>
        <v>#REF!</v>
      </c>
      <c r="H67" s="59" t="e">
        <f>SUMPRODUCT(--(WEEKDAY(ROW(INDIRECT($E67:$E97&amp;":"&amp;$F67:$F94)),1)=2))</f>
        <v>#REF!</v>
      </c>
      <c r="I67" s="59" t="e">
        <f>SUMPRODUCT(--(WEEKDAY(ROW(INDIRECT($E67:$E97&amp;":"&amp;$F67:$F94)),1)=3))</f>
        <v>#REF!</v>
      </c>
      <c r="J67" s="59" t="e">
        <f>SUMPRODUCT(--(WEEKDAY(ROW(INDIRECT($E67:$E97&amp;":"&amp;$F67:$F94)),1)=4))</f>
        <v>#REF!</v>
      </c>
      <c r="K67" s="59" t="e">
        <f>SUMPRODUCT(--(WEEKDAY(ROW(INDIRECT($E67:$E97&amp;":"&amp;$F67:$F94)),1)=5))</f>
        <v>#REF!</v>
      </c>
      <c r="L67" s="59" t="e">
        <f>SUMPRODUCT(--(WEEKDAY(ROW(INDIRECT($E67:$E97&amp;":"&amp;$F67:$F94)),1)=6))</f>
        <v>#REF!</v>
      </c>
      <c r="M67" s="59" t="e">
        <f>SUMPRODUCT(--(WEEKDAY(ROW(INDIRECT($E67:$E97&amp;":"&amp;$F67:$F94)),1)=7))</f>
        <v>#REF!</v>
      </c>
      <c r="N67" s="59" t="e">
        <f>SUM(H67:M67)</f>
        <v>#REF!</v>
      </c>
      <c r="O67" s="47">
        <f t="shared" si="18"/>
        <v>1</v>
      </c>
      <c r="P67" s="47"/>
      <c r="Q67" s="60" t="e">
        <f>VLOOKUP($B67,'[2]T01.2025'!C61:F7414,4,0)</f>
        <v>#N/A</v>
      </c>
      <c r="R67" s="67"/>
      <c r="S67" s="61"/>
      <c r="T67" s="8" t="s">
        <v>85</v>
      </c>
      <c r="U67" s="1"/>
      <c r="W67" s="2"/>
    </row>
    <row r="68" ht="31.5" customHeight="1" spans="1:21" x14ac:dyDescent="0.25">
      <c r="A68" s="35" t="s">
        <v>81</v>
      </c>
      <c r="B68" s="36"/>
      <c r="C68" s="36"/>
      <c r="D68" s="36"/>
      <c r="E68" s="36"/>
      <c r="F68" s="37"/>
      <c r="G68" s="37"/>
      <c r="H68" s="37"/>
      <c r="I68" s="37"/>
      <c r="J68" s="37"/>
      <c r="K68" s="37"/>
      <c r="L68" s="37"/>
      <c r="M68" s="37"/>
      <c r="N68" s="37"/>
      <c r="O68" s="47">
        <f>SUM(O57:O67)</f>
        <v>49</v>
      </c>
      <c r="P68" s="48"/>
      <c r="Q68" s="60"/>
      <c r="R68" s="47"/>
      <c r="S68" s="61"/>
      <c r="U68" s="69"/>
    </row>
    <row r="69" ht="31.5" customHeight="1" spans="1:21" x14ac:dyDescent="0.25">
      <c r="A69" s="48" t="s">
        <v>86</v>
      </c>
      <c r="B69" s="49"/>
      <c r="C69" s="65" t="s">
        <v>101</v>
      </c>
      <c r="D69" s="48"/>
      <c r="E69" s="52"/>
      <c r="F69" s="52"/>
      <c r="G69" s="55" t="s">
        <v>32</v>
      </c>
      <c r="H69" s="55" t="s">
        <v>33</v>
      </c>
      <c r="I69" s="55" t="s">
        <v>34</v>
      </c>
      <c r="J69" s="55" t="s">
        <v>35</v>
      </c>
      <c r="K69" s="55" t="s">
        <v>36</v>
      </c>
      <c r="L69" s="55" t="s">
        <v>37</v>
      </c>
      <c r="M69" s="55" t="s">
        <v>38</v>
      </c>
      <c r="N69" s="55" t="s">
        <v>39</v>
      </c>
      <c r="O69" s="48"/>
      <c r="P69" s="48"/>
      <c r="Q69" s="66"/>
      <c r="R69" s="48"/>
      <c r="S69" s="54"/>
      <c r="T69" s="12"/>
      <c r="U69" s="16"/>
    </row>
    <row r="70" ht="37.5" customHeight="1" spans="1:23" x14ac:dyDescent="0.25">
      <c r="A70" s="47">
        <v>1</v>
      </c>
      <c r="B70" s="56"/>
      <c r="C70" s="57" t="e">
        <f>VLOOKUP($B70,[1]Sheet1!$F$5:$G$50270,2,0)</f>
        <v>#N/A</v>
      </c>
      <c r="D70" s="47" t="e">
        <f>VLOOKUP($B70,'[2]Số sổ BHXH T05'!$B$11:$K$11515,4,0)</f>
        <v>#N/A</v>
      </c>
      <c r="E70" s="58"/>
      <c r="F70" s="58"/>
      <c r="G70" s="59" t="e">
        <f>SUMPRODUCT(--(WEEKDAY(ROW(INDIRECT($E60:$E93&amp;":"&amp;$F60:$F86)),1)=1))</f>
        <v>#REF!</v>
      </c>
      <c r="H70" s="59" t="e">
        <f>SUMPRODUCT(--(WEEKDAY(ROW(INDIRECT($E60:$E93&amp;":"&amp;$F60:$F86)),1)=2))</f>
        <v>#REF!</v>
      </c>
      <c r="I70" s="59" t="e">
        <f>SUMPRODUCT(--(WEEKDAY(ROW(INDIRECT($E60:$E93&amp;":"&amp;$F60:$F86)),1)=3))</f>
        <v>#REF!</v>
      </c>
      <c r="J70" s="59" t="e">
        <f>SUMPRODUCT(--(WEEKDAY(ROW(INDIRECT($E60:$E93&amp;":"&amp;$F60:$F86)),1)=4))</f>
        <v>#REF!</v>
      </c>
      <c r="K70" s="59" t="e">
        <f>SUMPRODUCT(--(WEEKDAY(ROW(INDIRECT($E60:$E93&amp;":"&amp;$F60:$F86)),1)=5))</f>
        <v>#REF!</v>
      </c>
      <c r="L70" s="59" t="e">
        <f>SUMPRODUCT(--(WEEKDAY(ROW(INDIRECT($E60:$E93&amp;":"&amp;$F60:$F86)),1)=6))</f>
        <v>#REF!</v>
      </c>
      <c r="M70" s="59" t="e">
        <f>SUMPRODUCT(--(WEEKDAY(ROW(INDIRECT($E60:$E93&amp;":"&amp;$F60:$F86)),1)=7))</f>
        <v>#REF!</v>
      </c>
      <c r="N70" s="59" t="e">
        <f>SUM(H70:M70)</f>
        <v>#REF!</v>
      </c>
      <c r="O70" s="47">
        <f>F70-E70+1</f>
        <v>1</v>
      </c>
      <c r="P70" s="47"/>
      <c r="Q70" s="60" t="e">
        <f>VLOOKUP($B70,'[2]T01.2025'!C48:F7401,4,0)</f>
        <v>#N/A</v>
      </c>
      <c r="R70" s="67"/>
      <c r="S70" s="70"/>
      <c r="T70" s="8" t="s">
        <v>85</v>
      </c>
      <c r="U70" s="1"/>
      <c r="W70" s="2"/>
    </row>
    <row r="71" ht="37.5" customHeight="1" spans="1:23" x14ac:dyDescent="0.25">
      <c r="A71" s="47">
        <v>2</v>
      </c>
      <c r="B71" s="56"/>
      <c r="C71" s="57" t="e">
        <f>VLOOKUP($B71,[1]Sheet1!$F$5:$G$50270,2,0)</f>
        <v>#N/A</v>
      </c>
      <c r="D71" s="47" t="e">
        <f>VLOOKUP($B71,'[2]Số sổ BHXH T05'!$B$11:$K$11515,4,0)</f>
        <v>#N/A</v>
      </c>
      <c r="E71" s="58"/>
      <c r="F71" s="58"/>
      <c r="G71" s="59" t="e">
        <f>SUMPRODUCT(--(WEEKDAY(ROW(INDIRECT($E71:$E93&amp;":"&amp;$F71:$F92)),1)=1))</f>
        <v>#REF!</v>
      </c>
      <c r="H71" s="59" t="e">
        <f>SUMPRODUCT(--(WEEKDAY(ROW(INDIRECT($E71:$E93&amp;":"&amp;$F71:$F92)),1)=2))</f>
        <v>#REF!</v>
      </c>
      <c r="I71" s="59" t="e">
        <f>SUMPRODUCT(--(WEEKDAY(ROW(INDIRECT($E71:$E93&amp;":"&amp;$F71:$F92)),1)=3))</f>
        <v>#REF!</v>
      </c>
      <c r="J71" s="59" t="e">
        <f>SUMPRODUCT(--(WEEKDAY(ROW(INDIRECT($E71:$E93&amp;":"&amp;$F71:$F92)),1)=4))</f>
        <v>#REF!</v>
      </c>
      <c r="K71" s="59" t="e">
        <f>SUMPRODUCT(--(WEEKDAY(ROW(INDIRECT($E71:$E93&amp;":"&amp;$F71:$F92)),1)=5))</f>
        <v>#REF!</v>
      </c>
      <c r="L71" s="59" t="e">
        <f>SUMPRODUCT(--(WEEKDAY(ROW(INDIRECT($E71:$E93&amp;":"&amp;$F71:$F92)),1)=6))</f>
        <v>#REF!</v>
      </c>
      <c r="M71" s="59" t="e">
        <f>SUMPRODUCT(--(WEEKDAY(ROW(INDIRECT($E71:$E93&amp;":"&amp;$F71:$F92)),1)=7))</f>
        <v>#REF!</v>
      </c>
      <c r="N71" s="59" t="e">
        <f>SUM(H71:M71)</f>
        <v>#REF!</v>
      </c>
      <c r="O71" s="47">
        <f t="shared" ref="O71" si="20">F71-E71+1</f>
        <v>1</v>
      </c>
      <c r="P71" s="47"/>
      <c r="Q71" s="60" t="e">
        <f>VLOOKUP($B71,'[2]T01.2025'!C50:F7403,4,0)</f>
        <v>#N/A</v>
      </c>
      <c r="R71" s="67"/>
      <c r="S71" s="70"/>
      <c r="T71" s="8" t="s">
        <v>85</v>
      </c>
      <c r="U71" s="1"/>
      <c r="W71" s="2"/>
    </row>
    <row r="72" ht="31.5" customHeight="1" spans="1:23" x14ac:dyDescent="0.25">
      <c r="A72" s="35" t="s">
        <v>81</v>
      </c>
      <c r="B72" s="36"/>
      <c r="C72" s="36"/>
      <c r="D72" s="36"/>
      <c r="E72" s="36"/>
      <c r="F72" s="37"/>
      <c r="G72" s="37"/>
      <c r="H72" s="37"/>
      <c r="I72" s="37"/>
      <c r="J72" s="37"/>
      <c r="K72" s="37"/>
      <c r="L72" s="37"/>
      <c r="M72" s="37"/>
      <c r="N72" s="37"/>
      <c r="O72" s="47">
        <f>SUM(O70:O71)</f>
        <v>2</v>
      </c>
      <c r="P72" s="48"/>
      <c r="Q72" s="60"/>
      <c r="R72" s="47"/>
      <c r="S72" s="61"/>
      <c r="U72" s="69"/>
      <c r="W72" s="2"/>
    </row>
    <row r="73" ht="31.5" customHeight="1" spans="1:21" x14ac:dyDescent="0.25">
      <c r="A73" s="48" t="s">
        <v>24</v>
      </c>
      <c r="B73" s="49"/>
      <c r="C73" s="71" t="s">
        <v>102</v>
      </c>
      <c r="D73" s="72"/>
      <c r="E73" s="72"/>
      <c r="F73" s="72"/>
      <c r="G73" s="72"/>
      <c r="H73" s="72"/>
      <c r="I73" s="72"/>
      <c r="J73" s="72"/>
      <c r="K73" s="72"/>
      <c r="L73" s="72"/>
      <c r="M73" s="72"/>
      <c r="N73" s="72"/>
      <c r="O73" s="72"/>
      <c r="P73" s="72"/>
      <c r="Q73" s="73"/>
      <c r="R73" s="36"/>
      <c r="S73" s="74"/>
      <c r="T73" s="12"/>
      <c r="U73" s="16"/>
    </row>
    <row r="74" ht="31.5" customHeight="1" spans="1:21" x14ac:dyDescent="0.25">
      <c r="A74" s="48" t="s">
        <v>30</v>
      </c>
      <c r="B74" s="49"/>
      <c r="C74" s="51" t="s">
        <v>103</v>
      </c>
      <c r="D74" s="48"/>
      <c r="E74" s="52"/>
      <c r="F74" s="52"/>
      <c r="G74" s="55" t="s">
        <v>32</v>
      </c>
      <c r="H74" s="55" t="s">
        <v>33</v>
      </c>
      <c r="I74" s="55" t="s">
        <v>34</v>
      </c>
      <c r="J74" s="55" t="s">
        <v>35</v>
      </c>
      <c r="K74" s="55" t="s">
        <v>36</v>
      </c>
      <c r="L74" s="55" t="s">
        <v>37</v>
      </c>
      <c r="M74" s="55" t="s">
        <v>38</v>
      </c>
      <c r="N74" s="55" t="s">
        <v>39</v>
      </c>
      <c r="O74" s="48"/>
      <c r="P74" s="48"/>
      <c r="Q74" s="53"/>
      <c r="R74" s="48"/>
      <c r="S74" s="54"/>
      <c r="T74" s="12"/>
      <c r="U74" s="16"/>
    </row>
    <row r="75" ht="31.5" customHeight="1" spans="1:23" x14ac:dyDescent="0.25">
      <c r="A75" s="47">
        <v>1</v>
      </c>
      <c r="B75" s="56" t="s">
        <v>104</v>
      </c>
      <c r="C75" s="57" t="str">
        <f>VLOOKUP($B75,[1]Sheet1!$F$5:$G$50270,2,0)</f>
        <v>NGUYỄN THỊ HƯƠNG LY</v>
      </c>
      <c r="D75" s="47" t="str">
        <f>VLOOKUP($B75,'[2]Số sổ BHXH T05'!$B$11:$K$11515,4,0)</f>
        <v>3320514897</v>
      </c>
      <c r="E75" s="58">
        <v>45978</v>
      </c>
      <c r="F75" s="58">
        <v>45979</v>
      </c>
      <c r="G75" s="59">
        <f>SUMPRODUCT(--(WEEKDAY(ROW(INDIRECT($E75:$E98&amp;":"&amp;$F75:$F101)),1)=1))</f>
        <v>0</v>
      </c>
      <c r="H75" s="59">
        <f>SUMPRODUCT(--(WEEKDAY(ROW(INDIRECT($E75:$E98&amp;":"&amp;$F75:$F101)),1)=2))</f>
        <v>1</v>
      </c>
      <c r="I75" s="59">
        <f>SUMPRODUCT(--(WEEKDAY(ROW(INDIRECT($E75:$E98&amp;":"&amp;$F75:$F101)),1)=3))</f>
        <v>1</v>
      </c>
      <c r="J75" s="59">
        <f>SUMPRODUCT(--(WEEKDAY(ROW(INDIRECT($E75:$E98&amp;":"&amp;$F75:$F101)),1)=4))</f>
        <v>0</v>
      </c>
      <c r="K75" s="59">
        <f>SUMPRODUCT(--(WEEKDAY(ROW(INDIRECT($E75:$E98&amp;":"&amp;$F75:$F101)),1)=5))</f>
        <v>0</v>
      </c>
      <c r="L75" s="59">
        <f>SUMPRODUCT(--(WEEKDAY(ROW(INDIRECT($E75:$E98&amp;":"&amp;$F75:$F101)),1)=6))</f>
        <v>0</v>
      </c>
      <c r="M75" s="59">
        <f>SUMPRODUCT(--(WEEKDAY(ROW(INDIRECT($E75:$E98&amp;":"&amp;$F75:$F101)),1)=7))</f>
        <v>0</v>
      </c>
      <c r="N75" s="59">
        <f t="shared" ref="N75:N79" si="21">SUM(H75:M75)</f>
        <v>2</v>
      </c>
      <c r="O75" s="47">
        <f t="shared" ref="O75:O79" si="22">F75-E75+1</f>
        <v>2</v>
      </c>
      <c r="P75" s="47"/>
      <c r="Q75" s="60" t="str">
        <f>VLOOKUP($B75,'[2]T01.2025'!C71:F7424,4,0)</f>
        <v>0011004389722</v>
      </c>
      <c r="R75" s="47"/>
      <c r="S75" s="61"/>
      <c r="T75" s="1" t="s">
        <v>103</v>
      </c>
      <c r="U75" s="1"/>
      <c r="V75" s="75"/>
      <c r="W75" s="2"/>
    </row>
    <row r="76" ht="31.5" customHeight="1" spans="1:23" x14ac:dyDescent="0.25">
      <c r="A76" s="47">
        <v>4</v>
      </c>
      <c r="B76" s="56" t="s">
        <v>104</v>
      </c>
      <c r="C76" s="57" t="str">
        <f>VLOOKUP($B76,[1]Sheet1!$F$5:$G$50270,2,0)</f>
        <v>NGUYỄN THỊ HƯƠNG LY</v>
      </c>
      <c r="D76" s="47" t="str">
        <f>VLOOKUP($B76,'[2]Số sổ BHXH T05'!$B$11:$K$11515,4,0)</f>
        <v>3320514897</v>
      </c>
      <c r="E76" s="58">
        <v>45981</v>
      </c>
      <c r="F76" s="58">
        <v>45981</v>
      </c>
      <c r="G76" s="59">
        <f>SUMPRODUCT(--(WEEKDAY(ROW(INDIRECT($E76:$E100&amp;":"&amp;$F76:$F103)),1)=1))</f>
        <v>0</v>
      </c>
      <c r="H76" s="59">
        <f>SUMPRODUCT(--(WEEKDAY(ROW(INDIRECT($E76:$E100&amp;":"&amp;$F76:$F103)),1)=2))</f>
        <v>0</v>
      </c>
      <c r="I76" s="59">
        <f>SUMPRODUCT(--(WEEKDAY(ROW(INDIRECT($E76:$E100&amp;":"&amp;$F76:$F103)),1)=3))</f>
        <v>0</v>
      </c>
      <c r="J76" s="59">
        <f>SUMPRODUCT(--(WEEKDAY(ROW(INDIRECT($E76:$E100&amp;":"&amp;$F76:$F103)),1)=4))</f>
        <v>0</v>
      </c>
      <c r="K76" s="59">
        <f>SUMPRODUCT(--(WEEKDAY(ROW(INDIRECT($E76:$E100&amp;":"&amp;$F76:$F103)),1)=5))</f>
        <v>1</v>
      </c>
      <c r="L76" s="59">
        <f>SUMPRODUCT(--(WEEKDAY(ROW(INDIRECT($E76:$E100&amp;":"&amp;$F76:$F103)),1)=6))</f>
        <v>0</v>
      </c>
      <c r="M76" s="59">
        <f>SUMPRODUCT(--(WEEKDAY(ROW(INDIRECT($E76:$E100&amp;":"&amp;$F76:$F103)),1)=7))</f>
        <v>0</v>
      </c>
      <c r="N76" s="59">
        <f>SUM(H76:M76)</f>
        <v>1</v>
      </c>
      <c r="O76" s="47">
        <f>F76-E76+1</f>
        <v>1</v>
      </c>
      <c r="P76" s="47"/>
      <c r="Q76" s="60" t="str">
        <f>VLOOKUP($B76,'[2]T01.2025'!C74:F7427,4,0)</f>
        <v>0011004389722</v>
      </c>
      <c r="R76" s="47"/>
      <c r="S76" s="61"/>
      <c r="T76" s="1" t="s">
        <v>103</v>
      </c>
      <c r="U76" s="1"/>
      <c r="V76" s="75"/>
      <c r="W76" s="2"/>
    </row>
    <row r="77" ht="31.5" customHeight="1" spans="1:23" x14ac:dyDescent="0.25">
      <c r="A77" s="47">
        <v>2</v>
      </c>
      <c r="B77" s="56" t="s">
        <v>105</v>
      </c>
      <c r="C77" s="57" t="str">
        <f>VLOOKUP($B77,[1]Sheet1!$F$5:$G$50270,2,0)</f>
        <v>HOÀNG THỊ NHẠN</v>
      </c>
      <c r="D77" s="47" t="str">
        <f>VLOOKUP($B77,'[2]Số sổ BHXH T05'!$B$11:$K$11515,4,0)</f>
        <v>0820611257</v>
      </c>
      <c r="E77" s="58">
        <v>45975</v>
      </c>
      <c r="F77" s="58">
        <v>45975</v>
      </c>
      <c r="G77" s="59">
        <f>SUMPRODUCT(--(WEEKDAY(ROW(INDIRECT($E77:$E98&amp;":"&amp;$F77:$F97)),1)=1))</f>
        <v>0</v>
      </c>
      <c r="H77" s="59">
        <f>SUMPRODUCT(--(WEEKDAY(ROW(INDIRECT($E77:$E98&amp;":"&amp;$F77:$F97)),1)=2))</f>
        <v>0</v>
      </c>
      <c r="I77" s="59">
        <f>SUMPRODUCT(--(WEEKDAY(ROW(INDIRECT($E77:$E98&amp;":"&amp;$F77:$F97)),1)=3))</f>
        <v>0</v>
      </c>
      <c r="J77" s="59">
        <f>SUMPRODUCT(--(WEEKDAY(ROW(INDIRECT($E77:$E98&amp;":"&amp;$F77:$F97)),1)=4))</f>
        <v>0</v>
      </c>
      <c r="K77" s="59">
        <f>SUMPRODUCT(--(WEEKDAY(ROW(INDIRECT($E77:$E98&amp;":"&amp;$F77:$F97)),1)=5))</f>
        <v>0</v>
      </c>
      <c r="L77" s="59">
        <f>SUMPRODUCT(--(WEEKDAY(ROW(INDIRECT($E77:$E98&amp;":"&amp;$F77:$F97)),1)=6))</f>
        <v>1</v>
      </c>
      <c r="M77" s="59">
        <f>SUMPRODUCT(--(WEEKDAY(ROW(INDIRECT($E77:$E98&amp;":"&amp;$F77:$F97)),1)=7))</f>
        <v>0</v>
      </c>
      <c r="N77" s="59">
        <f t="shared" si="21"/>
        <v>1</v>
      </c>
      <c r="O77" s="47">
        <f t="shared" si="22"/>
        <v>1</v>
      </c>
      <c r="P77" s="47"/>
      <c r="Q77" s="60" t="str">
        <f>VLOOKUP($B77,'[2]T01.2025'!C72:F7425,4,0)</f>
        <v>0351001235885</v>
      </c>
      <c r="R77" s="47"/>
      <c r="S77" s="61"/>
      <c r="T77" s="1" t="s">
        <v>103</v>
      </c>
      <c r="U77" s="1"/>
      <c r="V77" s="75"/>
      <c r="W77" s="2"/>
    </row>
    <row r="78" ht="31.5" customHeight="1" spans="1:23" x14ac:dyDescent="0.25">
      <c r="A78" s="47">
        <v>3</v>
      </c>
      <c r="B78" s="56" t="s">
        <v>106</v>
      </c>
      <c r="C78" s="57" t="str">
        <f>VLOOKUP($B78,[1]Sheet1!$F$5:$G$50270,2,0)</f>
        <v>NGÔ THỊ MỸ LINH</v>
      </c>
      <c r="D78" s="47" t="str">
        <f>VLOOKUP($B78,'[2]Số sổ BHXH T05'!$B$11:$K$11515,4,0)</f>
        <v>2421483878</v>
      </c>
      <c r="E78" s="58">
        <v>45980</v>
      </c>
      <c r="F78" s="58">
        <v>45980</v>
      </c>
      <c r="G78" s="59">
        <f>SUMPRODUCT(--(WEEKDAY(ROW(INDIRECT($E78:$E99&amp;":"&amp;$F78:$F98)),1)=1))</f>
        <v>0</v>
      </c>
      <c r="H78" s="59">
        <f>SUMPRODUCT(--(WEEKDAY(ROW(INDIRECT($E78:$E99&amp;":"&amp;$F78:$F98)),1)=2))</f>
        <v>0</v>
      </c>
      <c r="I78" s="59">
        <f>SUMPRODUCT(--(WEEKDAY(ROW(INDIRECT($E78:$E99&amp;":"&amp;$F78:$F98)),1)=3))</f>
        <v>0</v>
      </c>
      <c r="J78" s="59">
        <f>SUMPRODUCT(--(WEEKDAY(ROW(INDIRECT($E78:$E99&amp;":"&amp;$F78:$F98)),1)=4))</f>
        <v>1</v>
      </c>
      <c r="K78" s="59">
        <f>SUMPRODUCT(--(WEEKDAY(ROW(INDIRECT($E78:$E99&amp;":"&amp;$F78:$F98)),1)=5))</f>
        <v>0</v>
      </c>
      <c r="L78" s="59">
        <f>SUMPRODUCT(--(WEEKDAY(ROW(INDIRECT($E78:$E99&amp;":"&amp;$F78:$F98)),1)=6))</f>
        <v>0</v>
      </c>
      <c r="M78" s="59">
        <f>SUMPRODUCT(--(WEEKDAY(ROW(INDIRECT($E78:$E99&amp;":"&amp;$F78:$F98)),1)=7))</f>
        <v>0</v>
      </c>
      <c r="N78" s="59">
        <f t="shared" si="21"/>
        <v>1</v>
      </c>
      <c r="O78" s="47">
        <f t="shared" si="22"/>
        <v>1</v>
      </c>
      <c r="P78" s="47"/>
      <c r="Q78" s="60" t="str">
        <f>VLOOKUP($B78,'[2]T01.2025'!C73:F7426,4,0)</f>
        <v>1033202176</v>
      </c>
      <c r="R78" s="47"/>
      <c r="S78" s="61"/>
      <c r="T78" s="1" t="s">
        <v>103</v>
      </c>
      <c r="U78" s="1"/>
      <c r="V78" s="75"/>
      <c r="W78" s="2"/>
    </row>
    <row r="79" ht="31.5" customHeight="1" spans="1:23" x14ac:dyDescent="0.25">
      <c r="A79" s="47">
        <v>5</v>
      </c>
      <c r="B79" s="56"/>
      <c r="C79" s="57" t="e">
        <f>VLOOKUP($B79,[1]Sheet1!$F$5:$G$50270,2,0)</f>
        <v>#N/A</v>
      </c>
      <c r="D79" s="47" t="e">
        <f>VLOOKUP($B79,'[2]Số sổ BHXH T05'!$B$11:$K$11515,4,0)</f>
        <v>#N/A</v>
      </c>
      <c r="E79" s="58"/>
      <c r="F79" s="58"/>
      <c r="G79" s="59" t="e">
        <f>SUMPRODUCT(--(WEEKDAY(ROW(INDIRECT($E79:$E103&amp;":"&amp;$F79:$F98)),1)=1))</f>
        <v>#REF!</v>
      </c>
      <c r="H79" s="59" t="e">
        <f>SUMPRODUCT(--(WEEKDAY(ROW(INDIRECT($E79:$E103&amp;":"&amp;$F79:$F98)),1)=2))</f>
        <v>#REF!</v>
      </c>
      <c r="I79" s="59" t="e">
        <f>SUMPRODUCT(--(WEEKDAY(ROW(INDIRECT($E79:$E103&amp;":"&amp;$F79:$F98)),1)=3))</f>
        <v>#REF!</v>
      </c>
      <c r="J79" s="59" t="e">
        <f>SUMPRODUCT(--(WEEKDAY(ROW(INDIRECT($E79:$E103&amp;":"&amp;$F79:$F98)),1)=4))</f>
        <v>#REF!</v>
      </c>
      <c r="K79" s="59" t="e">
        <f>SUMPRODUCT(--(WEEKDAY(ROW(INDIRECT($E79:$E103&amp;":"&amp;$F79:$F98)),1)=5))</f>
        <v>#REF!</v>
      </c>
      <c r="L79" s="59" t="e">
        <f>SUMPRODUCT(--(WEEKDAY(ROW(INDIRECT($E79:$E103&amp;":"&amp;$F79:$F98)),1)=6))</f>
        <v>#REF!</v>
      </c>
      <c r="M79" s="59" t="e">
        <f>SUMPRODUCT(--(WEEKDAY(ROW(INDIRECT($E79:$E103&amp;":"&amp;$F79:$F98)),1)=7))</f>
        <v>#REF!</v>
      </c>
      <c r="N79" s="59" t="e">
        <f t="shared" si="21"/>
        <v>#REF!</v>
      </c>
      <c r="O79" s="47">
        <f t="shared" si="22"/>
        <v>1</v>
      </c>
      <c r="P79" s="47"/>
      <c r="Q79" s="60" t="e">
        <f>VLOOKUP($B79,'[2]T01.2025'!C75:F7428,4,0)</f>
        <v>#N/A</v>
      </c>
      <c r="R79" s="47"/>
      <c r="S79" s="61"/>
      <c r="T79" s="1" t="s">
        <v>103</v>
      </c>
      <c r="U79" s="1"/>
      <c r="V79" s="75"/>
      <c r="W79" s="2"/>
    </row>
    <row r="80" ht="31.5" customHeight="1" spans="1:22" x14ac:dyDescent="0.25">
      <c r="A80" s="35" t="s">
        <v>81</v>
      </c>
      <c r="B80" s="36"/>
      <c r="C80" s="36"/>
      <c r="D80" s="36"/>
      <c r="E80" s="36"/>
      <c r="F80" s="37"/>
      <c r="G80" s="37"/>
      <c r="H80" s="37"/>
      <c r="I80" s="37"/>
      <c r="J80" s="37"/>
      <c r="K80" s="37"/>
      <c r="L80" s="37"/>
      <c r="M80" s="37"/>
      <c r="N80" s="37"/>
      <c r="O80" s="48">
        <f>SUM(O75:O79)</f>
        <v>6</v>
      </c>
      <c r="P80" s="35"/>
      <c r="Q80" s="76"/>
      <c r="R80" s="47"/>
      <c r="S80" s="61"/>
      <c r="V80" s="75"/>
    </row>
    <row r="81" ht="31.5" customHeight="1" spans="1:34" x14ac:dyDescent="0.25">
      <c r="A81" s="77" t="s">
        <v>82</v>
      </c>
      <c r="B81" s="78"/>
      <c r="C81" s="79" t="s">
        <v>107</v>
      </c>
      <c r="D81" s="79"/>
      <c r="E81" s="79"/>
      <c r="F81" s="79"/>
      <c r="G81" s="80"/>
      <c r="H81" s="80"/>
      <c r="I81" s="80"/>
      <c r="J81" s="80"/>
      <c r="K81" s="80"/>
      <c r="L81" s="80"/>
      <c r="M81" s="80"/>
      <c r="N81" s="80"/>
      <c r="O81" s="81"/>
      <c r="P81" s="82"/>
      <c r="Q81" s="83"/>
      <c r="R81" s="84"/>
      <c r="S81" s="85"/>
      <c r="T81" s="86"/>
      <c r="U81" s="87"/>
      <c r="V81" s="75"/>
      <c r="W81" s="2"/>
      <c r="Z81" s="1"/>
      <c r="AA81" s="1"/>
      <c r="AB81" s="88"/>
      <c r="AC81" s="1"/>
      <c r="AD81" s="1"/>
      <c r="AE81" s="86"/>
      <c r="AF81" s="86"/>
      <c r="AG81" s="86"/>
      <c r="AH81" s="86"/>
    </row>
    <row r="82" ht="31.5" customHeight="1" spans="1:34" x14ac:dyDescent="0.25">
      <c r="A82" s="89" t="s">
        <v>108</v>
      </c>
      <c r="B82" s="90"/>
      <c r="C82" s="91" t="s">
        <v>109</v>
      </c>
      <c r="D82" s="91"/>
      <c r="E82" s="91"/>
      <c r="F82" s="91"/>
      <c r="G82" s="55" t="s">
        <v>32</v>
      </c>
      <c r="H82" s="55" t="s">
        <v>33</v>
      </c>
      <c r="I82" s="55" t="s">
        <v>34</v>
      </c>
      <c r="J82" s="55" t="s">
        <v>35</v>
      </c>
      <c r="K82" s="55" t="s">
        <v>36</v>
      </c>
      <c r="L82" s="55" t="s">
        <v>37</v>
      </c>
      <c r="M82" s="55" t="s">
        <v>38</v>
      </c>
      <c r="N82" s="55" t="s">
        <v>39</v>
      </c>
      <c r="O82" s="92"/>
      <c r="P82" s="93"/>
      <c r="Q82" s="94"/>
      <c r="R82" s="95"/>
      <c r="S82" s="96"/>
      <c r="T82" s="86"/>
      <c r="U82" s="87"/>
      <c r="V82" s="97"/>
      <c r="W82" s="2"/>
      <c r="Z82" s="1"/>
      <c r="AA82" s="1"/>
      <c r="AB82" s="88"/>
      <c r="AC82" s="1"/>
      <c r="AD82" s="1"/>
      <c r="AE82" s="86"/>
      <c r="AF82" s="86"/>
      <c r="AG82" s="86"/>
      <c r="AH82" s="86"/>
    </row>
    <row r="83" ht="31.5" customHeight="1" spans="1:23" x14ac:dyDescent="0.25">
      <c r="A83" s="47">
        <v>1</v>
      </c>
      <c r="B83" s="56"/>
      <c r="C83" s="57" t="e">
        <f>VLOOKUP($B83,[1]Sheet1!$F$5:$G$50270,2,0)</f>
        <v>#N/A</v>
      </c>
      <c r="D83" s="47" t="e">
        <f>VLOOKUP($B83,'[2]Số sổ BHXH T05'!$B$11:$K$11515,4,0)</f>
        <v>#N/A</v>
      </c>
      <c r="E83" s="58"/>
      <c r="F83" s="58"/>
      <c r="G83" s="59" t="e">
        <f>SUMPRODUCT(--(WEEKDAY(ROW(INDIRECT($E83:$E109&amp;":"&amp;$F83:$F103)),1)=1))</f>
        <v>#REF!</v>
      </c>
      <c r="H83" s="59" t="e">
        <f>SUMPRODUCT(--(WEEKDAY(ROW(INDIRECT($E83:$E109&amp;":"&amp;$F83:$F103)),1)=2))</f>
        <v>#REF!</v>
      </c>
      <c r="I83" s="59" t="e">
        <f>SUMPRODUCT(--(WEEKDAY(ROW(INDIRECT($E83:$E109&amp;":"&amp;$F83:$F103)),1)=3))</f>
        <v>#REF!</v>
      </c>
      <c r="J83" s="59" t="e">
        <f>SUMPRODUCT(--(WEEKDAY(ROW(INDIRECT($E83:$E109&amp;":"&amp;$F83:$F103)),1)=4))</f>
        <v>#REF!</v>
      </c>
      <c r="K83" s="59" t="e">
        <f>SUMPRODUCT(--(WEEKDAY(ROW(INDIRECT($E83:$E109&amp;":"&amp;$F83:$F103)),1)=5))</f>
        <v>#REF!</v>
      </c>
      <c r="L83" s="59" t="e">
        <f>SUMPRODUCT(--(WEEKDAY(ROW(INDIRECT($E83:$E109&amp;":"&amp;$F83:$F103)),1)=6))</f>
        <v>#REF!</v>
      </c>
      <c r="M83" s="59" t="e">
        <f>SUMPRODUCT(--(WEEKDAY(ROW(INDIRECT($E83:$E109&amp;":"&amp;$F83:$F103)),1)=7))</f>
        <v>#REF!</v>
      </c>
      <c r="N83" s="59" t="e">
        <f>SUM(H83:M83)</f>
        <v>#REF!</v>
      </c>
      <c r="O83" s="47">
        <f>F83-E83+1</f>
        <v>1</v>
      </c>
      <c r="P83" s="47"/>
      <c r="Q83" s="60" t="e">
        <f>VLOOKUP($B83,'[2]T01.2025'!C81:F7434,4,0)</f>
        <v>#N/A</v>
      </c>
      <c r="R83" s="47"/>
      <c r="S83" s="61"/>
      <c r="T83" s="1" t="s">
        <v>110</v>
      </c>
      <c r="U83" s="1"/>
      <c r="V83" s="75"/>
      <c r="W83" s="2"/>
    </row>
    <row r="84" ht="31.5" customHeight="1" spans="1:28" x14ac:dyDescent="0.25">
      <c r="A84" s="35" t="s">
        <v>81</v>
      </c>
      <c r="B84" s="36"/>
      <c r="C84" s="36"/>
      <c r="D84" s="36"/>
      <c r="E84" s="36"/>
      <c r="F84" s="37"/>
      <c r="G84" s="37"/>
      <c r="H84" s="37"/>
      <c r="I84" s="37"/>
      <c r="J84" s="37"/>
      <c r="K84" s="37"/>
      <c r="L84" s="37"/>
      <c r="M84" s="37"/>
      <c r="N84" s="37"/>
      <c r="O84" s="48">
        <f>SUM(O83:O83)</f>
        <v>1</v>
      </c>
      <c r="P84" s="35"/>
      <c r="Q84" s="76"/>
      <c r="R84" s="47"/>
      <c r="S84" s="61"/>
      <c r="U84" s="98"/>
      <c r="V84" s="75"/>
      <c r="W84" s="2"/>
      <c r="Y84" s="88"/>
      <c r="AB84" s="88"/>
    </row>
    <row r="85" ht="31.5" customHeight="1" spans="1:21" x14ac:dyDescent="0.25">
      <c r="A85" s="48" t="s">
        <v>84</v>
      </c>
      <c r="B85" s="49"/>
      <c r="C85" s="51" t="s">
        <v>111</v>
      </c>
      <c r="D85" s="48"/>
      <c r="E85" s="52"/>
      <c r="F85" s="52"/>
      <c r="G85" s="52"/>
      <c r="H85" s="52"/>
      <c r="I85" s="52"/>
      <c r="J85" s="52"/>
      <c r="K85" s="52"/>
      <c r="L85" s="52"/>
      <c r="M85" s="52"/>
      <c r="N85" s="52"/>
      <c r="O85" s="48"/>
      <c r="P85" s="48"/>
      <c r="Q85" s="53"/>
      <c r="R85" s="52"/>
      <c r="S85" s="54"/>
      <c r="T85" s="12"/>
      <c r="U85" s="16"/>
    </row>
    <row r="86" ht="31.5" customHeight="1" spans="1:21" x14ac:dyDescent="0.25">
      <c r="A86" s="99" t="s">
        <v>86</v>
      </c>
      <c r="B86" s="100"/>
      <c r="C86" s="65" t="s">
        <v>112</v>
      </c>
      <c r="D86" s="48"/>
      <c r="E86" s="52"/>
      <c r="F86" s="52"/>
      <c r="G86" s="52"/>
      <c r="H86" s="52"/>
      <c r="I86" s="52"/>
      <c r="J86" s="52"/>
      <c r="K86" s="52"/>
      <c r="L86" s="52"/>
      <c r="M86" s="52"/>
      <c r="N86" s="52"/>
      <c r="O86" s="48"/>
      <c r="P86" s="48"/>
      <c r="Q86" s="53"/>
      <c r="R86" s="48"/>
      <c r="S86" s="54"/>
      <c r="T86" s="12"/>
      <c r="U86" s="16"/>
    </row>
    <row r="87" ht="31.5" customHeight="1" spans="1:21" x14ac:dyDescent="0.25">
      <c r="A87" s="47" t="s">
        <v>113</v>
      </c>
      <c r="B87" s="101"/>
      <c r="C87" s="57" t="s">
        <v>114</v>
      </c>
      <c r="D87" s="48"/>
      <c r="E87" s="52"/>
      <c r="F87" s="52"/>
      <c r="G87" s="55" t="s">
        <v>32</v>
      </c>
      <c r="H87" s="55" t="s">
        <v>33</v>
      </c>
      <c r="I87" s="55" t="s">
        <v>34</v>
      </c>
      <c r="J87" s="55" t="s">
        <v>35</v>
      </c>
      <c r="K87" s="55" t="s">
        <v>36</v>
      </c>
      <c r="L87" s="55" t="s">
        <v>37</v>
      </c>
      <c r="M87" s="55" t="s">
        <v>38</v>
      </c>
      <c r="N87" s="55" t="s">
        <v>39</v>
      </c>
      <c r="O87" s="48"/>
      <c r="P87" s="48"/>
      <c r="Q87" s="53"/>
      <c r="R87" s="48"/>
      <c r="S87" s="54"/>
      <c r="T87" s="12"/>
      <c r="U87" s="16"/>
    </row>
    <row r="88" ht="31.5" customHeight="1" spans="1:22" x14ac:dyDescent="0.25">
      <c r="A88" s="47">
        <v>3</v>
      </c>
      <c r="B88" s="56" t="s">
        <v>115</v>
      </c>
      <c r="C88" s="57" t="str">
        <f>VLOOKUP($B88,[1]Sheet1!$F$5:$G$50270,2,0)</f>
        <v>ĐẶNG THỊ NHÀN</v>
      </c>
      <c r="D88" s="47" t="str">
        <f>VLOOKUP($B88,'[2]Số sổ BHXH T05'!$B$11:$K$11515,4,0)</f>
        <v>0220491005</v>
      </c>
      <c r="E88" s="58">
        <v>45810</v>
      </c>
      <c r="F88" s="58">
        <v>45992</v>
      </c>
      <c r="G88" s="59">
        <f>SUMPRODUCT(--(WEEKDAY(ROW(INDIRECT($E88:$E117&amp;":"&amp;$F88:$F111)),1)=1))</f>
        <v>26</v>
      </c>
      <c r="H88" s="59">
        <f>SUMPRODUCT(--(WEEKDAY(ROW(INDIRECT($E88:$E117&amp;":"&amp;$F88:$F111)),1)=2))</f>
        <v>27</v>
      </c>
      <c r="I88" s="59">
        <f>SUMPRODUCT(--(WEEKDAY(ROW(INDIRECT($E88:$E117&amp;":"&amp;$F88:$F111)),1)=3))</f>
        <v>26</v>
      </c>
      <c r="J88" s="59">
        <f>SUMPRODUCT(--(WEEKDAY(ROW(INDIRECT($E88:$E117&amp;":"&amp;$F88:$F111)),1)=4))</f>
        <v>26</v>
      </c>
      <c r="K88" s="59">
        <f>SUMPRODUCT(--(WEEKDAY(ROW(INDIRECT($E88:$E117&amp;":"&amp;$F88:$F111)),1)=5))</f>
        <v>26</v>
      </c>
      <c r="L88" s="59">
        <f>SUMPRODUCT(--(WEEKDAY(ROW(INDIRECT($E88:$E117&amp;":"&amp;$F88:$F111)),1)=6))</f>
        <v>26</v>
      </c>
      <c r="M88" s="59">
        <f>SUMPRODUCT(--(WEEKDAY(ROW(INDIRECT($E88:$E117&amp;":"&amp;$F88:$F111)),1)=7))</f>
        <v>26</v>
      </c>
      <c r="N88" s="59">
        <f t="shared" ref="N88:N93" si="23">SUM(H88:M88)</f>
        <v>157</v>
      </c>
      <c r="O88" s="47">
        <f t="shared" ref="O88:O93" si="24">F88-E88+1</f>
        <v>183</v>
      </c>
      <c r="P88" s="47"/>
      <c r="Q88" s="60" t="str">
        <f>VLOOKUP($B88,'[2]T01.2025'!C87:F7440,4,0)</f>
        <v>0351001228201</v>
      </c>
      <c r="R88" s="58"/>
      <c r="S88" s="58"/>
      <c r="T88" s="1" t="s">
        <v>111</v>
      </c>
      <c r="U88" s="6" t="s">
        <v>89</v>
      </c>
      <c r="V88" s="75"/>
    </row>
    <row r="89" ht="31.5" customHeight="1" spans="1:22" x14ac:dyDescent="0.25">
      <c r="A89" s="47">
        <v>4</v>
      </c>
      <c r="B89" s="56" t="s">
        <v>116</v>
      </c>
      <c r="C89" s="57" t="str">
        <f>VLOOKUP($B89,[1]Sheet1!$F$5:$G$50270,2,0)</f>
        <v>BÙI THỊ HƯƠNG THẢO</v>
      </c>
      <c r="D89" s="47" t="str">
        <f>VLOOKUP($B89,'[2]Số sổ BHXH T05'!$B$11:$K$11515,4,0)</f>
        <v>1720599617</v>
      </c>
      <c r="E89" s="58">
        <v>45903</v>
      </c>
      <c r="F89" s="58">
        <v>46083</v>
      </c>
      <c r="G89" s="59">
        <f>SUMPRODUCT(--(WEEKDAY(ROW(INDIRECT($E89:$E119&amp;":"&amp;$F89:$F113)),1)=1))</f>
        <v>26</v>
      </c>
      <c r="H89" s="59">
        <f>SUMPRODUCT(--(WEEKDAY(ROW(INDIRECT($E89:$E119&amp;":"&amp;$F89:$F113)),1)=2))</f>
        <v>26</v>
      </c>
      <c r="I89" s="59">
        <f>SUMPRODUCT(--(WEEKDAY(ROW(INDIRECT($E89:$E119&amp;":"&amp;$F89:$F113)),1)=3))</f>
        <v>25</v>
      </c>
      <c r="J89" s="59">
        <f>SUMPRODUCT(--(WEEKDAY(ROW(INDIRECT($E89:$E119&amp;":"&amp;$F89:$F113)),1)=4))</f>
        <v>26</v>
      </c>
      <c r="K89" s="59">
        <f>SUMPRODUCT(--(WEEKDAY(ROW(INDIRECT($E89:$E119&amp;":"&amp;$F89:$F113)),1)=5))</f>
        <v>26</v>
      </c>
      <c r="L89" s="59">
        <f>SUMPRODUCT(--(WEEKDAY(ROW(INDIRECT($E89:$E119&amp;":"&amp;$F89:$F113)),1)=6))</f>
        <v>26</v>
      </c>
      <c r="M89" s="59">
        <f>SUMPRODUCT(--(WEEKDAY(ROW(INDIRECT($E89:$E119&amp;":"&amp;$F89:$F113)),1)=7))</f>
        <v>26</v>
      </c>
      <c r="N89" s="59">
        <f t="shared" si="23"/>
        <v>155</v>
      </c>
      <c r="O89" s="47">
        <f t="shared" si="24"/>
        <v>181</v>
      </c>
      <c r="P89" s="47"/>
      <c r="Q89" s="60" t="str">
        <f>VLOOKUP($B89,'[2]T01.2025'!C89:F7442,4,0)</f>
        <v>1054653839</v>
      </c>
      <c r="R89" s="58"/>
      <c r="S89" s="58"/>
      <c r="T89" s="1" t="s">
        <v>111</v>
      </c>
      <c r="U89" s="6" t="s">
        <v>117</v>
      </c>
      <c r="V89" s="75"/>
    </row>
    <row r="90" ht="31.5" customHeight="1" spans="1:22" x14ac:dyDescent="0.25">
      <c r="A90" s="47">
        <v>5</v>
      </c>
      <c r="B90" s="56" t="s">
        <v>118</v>
      </c>
      <c r="C90" s="57" t="str">
        <f>VLOOKUP($B90,[1]Sheet1!$F$5:$G$50270,2,0)</f>
        <v>LƯỜNG THỊ DUNG</v>
      </c>
      <c r="D90" s="47" t="str">
        <f>VLOOKUP($B90,'[2]Số sổ BHXH T05'!$B$11:$K$11515,4,0)</f>
        <v>1220398904</v>
      </c>
      <c r="E90" s="58">
        <v>45922</v>
      </c>
      <c r="F90" s="58">
        <v>46102</v>
      </c>
      <c r="G90" s="59">
        <f>SUMPRODUCT(--(WEEKDAY(ROW(INDIRECT($E90:$E119&amp;":"&amp;$F90:$F114)),1)=1))</f>
        <v>25</v>
      </c>
      <c r="H90" s="59">
        <f>SUMPRODUCT(--(WEEKDAY(ROW(INDIRECT($E90:$E119&amp;":"&amp;$F90:$F114)),1)=2))</f>
        <v>26</v>
      </c>
      <c r="I90" s="59">
        <f>SUMPRODUCT(--(WEEKDAY(ROW(INDIRECT($E90:$E119&amp;":"&amp;$F90:$F114)),1)=3))</f>
        <v>26</v>
      </c>
      <c r="J90" s="59">
        <f>SUMPRODUCT(--(WEEKDAY(ROW(INDIRECT($E90:$E119&amp;":"&amp;$F90:$F114)),1)=4))</f>
        <v>26</v>
      </c>
      <c r="K90" s="59">
        <f>SUMPRODUCT(--(WEEKDAY(ROW(INDIRECT($E90:$E119&amp;":"&amp;$F90:$F114)),1)=5))</f>
        <v>26</v>
      </c>
      <c r="L90" s="59">
        <f>SUMPRODUCT(--(WEEKDAY(ROW(INDIRECT($E90:$E119&amp;":"&amp;$F90:$F114)),1)=6))</f>
        <v>26</v>
      </c>
      <c r="M90" s="59">
        <f>SUMPRODUCT(--(WEEKDAY(ROW(INDIRECT($E90:$E119&amp;":"&amp;$F90:$F114)),1)=7))</f>
        <v>26</v>
      </c>
      <c r="N90" s="59">
        <f t="shared" si="23"/>
        <v>156</v>
      </c>
      <c r="O90" s="47">
        <f t="shared" si="24"/>
        <v>181</v>
      </c>
      <c r="P90" s="47"/>
      <c r="Q90" s="60" t="str">
        <f>VLOOKUP($B90,'[2]T01.2025'!C90:F7443,4,0)</f>
        <v>1028809411</v>
      </c>
      <c r="R90" s="58"/>
      <c r="S90" s="58"/>
      <c r="T90" s="1" t="s">
        <v>111</v>
      </c>
      <c r="U90" s="6" t="s">
        <v>119</v>
      </c>
      <c r="V90" s="75"/>
    </row>
    <row r="91" ht="31.5" customHeight="1" spans="1:22" x14ac:dyDescent="0.25">
      <c r="A91" s="47">
        <v>1</v>
      </c>
      <c r="B91" s="56" t="s">
        <v>120</v>
      </c>
      <c r="C91" s="57" t="str">
        <f>VLOOKUP($B91,[1]Sheet1!$F$5:$G$50270,2,0)</f>
        <v>DƯƠNG THỊ VINH</v>
      </c>
      <c r="D91" s="47" t="str">
        <f>VLOOKUP($B91,'[2]Số sổ BHXH T05'!$B$11:$K$11515,4,0)</f>
        <v>2421020197</v>
      </c>
      <c r="E91" s="58">
        <v>45950</v>
      </c>
      <c r="F91" s="58">
        <v>46131</v>
      </c>
      <c r="G91" s="59">
        <f>SUMPRODUCT(--(WEEKDAY(ROW(INDIRECT($E88:$E118&amp;":"&amp;$F88:$F112)),1)=1))</f>
        <v>26</v>
      </c>
      <c r="H91" s="59">
        <f>SUMPRODUCT(--(WEEKDAY(ROW(INDIRECT($E88:$E118&amp;":"&amp;$F88:$F112)),1)=2))</f>
        <v>26</v>
      </c>
      <c r="I91" s="59">
        <f>SUMPRODUCT(--(WEEKDAY(ROW(INDIRECT($E88:$E118&amp;":"&amp;$F88:$F112)),1)=3))</f>
        <v>26</v>
      </c>
      <c r="J91" s="59">
        <f>SUMPRODUCT(--(WEEKDAY(ROW(INDIRECT($E88:$E118&amp;":"&amp;$F88:$F112)),1)=4))</f>
        <v>26</v>
      </c>
      <c r="K91" s="59">
        <f>SUMPRODUCT(--(WEEKDAY(ROW(INDIRECT($E88:$E118&amp;":"&amp;$F88:$F112)),1)=5))</f>
        <v>26</v>
      </c>
      <c r="L91" s="59">
        <f>SUMPRODUCT(--(WEEKDAY(ROW(INDIRECT($E88:$E118&amp;":"&amp;$F88:$F112)),1)=6))</f>
        <v>26</v>
      </c>
      <c r="M91" s="59">
        <f>SUMPRODUCT(--(WEEKDAY(ROW(INDIRECT($E88:$E118&amp;":"&amp;$F88:$F112)),1)=7))</f>
        <v>26</v>
      </c>
      <c r="N91" s="59">
        <f>SUM(H91:M91)</f>
        <v>156</v>
      </c>
      <c r="O91" s="47">
        <f>F91-E91+1</f>
        <v>182</v>
      </c>
      <c r="P91" s="47"/>
      <c r="Q91" s="60" t="str">
        <f>VLOOKUP($B91,'[2]T01.2025'!C88:F7441,4,0)</f>
        <v>1012745083</v>
      </c>
      <c r="R91" s="58"/>
      <c r="S91" s="58"/>
      <c r="T91" s="1" t="s">
        <v>111</v>
      </c>
      <c r="U91" s="6" t="s">
        <v>89</v>
      </c>
      <c r="V91" s="75"/>
    </row>
    <row r="92" ht="31.5" customHeight="1" spans="1:22" x14ac:dyDescent="0.25">
      <c r="A92" s="47">
        <v>2</v>
      </c>
      <c r="B92" s="56" t="s">
        <v>121</v>
      </c>
      <c r="C92" s="57" t="str">
        <f>VLOOKUP($B92,[1]Sheet1!$F$5:$G$50270,2,0)</f>
        <v>DIÊM THỊ THU HIỀN</v>
      </c>
      <c r="D92" s="47" t="str">
        <f>VLOOKUP($B92,'[2]Số sổ BHXH T05'!$B$11:$K$11515,4,0)</f>
        <v>2420252783</v>
      </c>
      <c r="E92" s="58">
        <v>45968</v>
      </c>
      <c r="F92" s="58">
        <v>46148</v>
      </c>
      <c r="G92" s="59">
        <f>SUMPRODUCT(--(WEEKDAY(ROW(INDIRECT($E92:$E116&amp;":"&amp;$F92:$F110)),1)=1))</f>
        <v>26</v>
      </c>
      <c r="H92" s="59">
        <f>SUMPRODUCT(--(WEEKDAY(ROW(INDIRECT($E92:$E116&amp;":"&amp;$F92:$F110)),1)=2))</f>
        <v>26</v>
      </c>
      <c r="I92" s="59">
        <f>SUMPRODUCT(--(WEEKDAY(ROW(INDIRECT($E92:$E116&amp;":"&amp;$F92:$F110)),1)=3))</f>
        <v>26</v>
      </c>
      <c r="J92" s="59">
        <f>SUMPRODUCT(--(WEEKDAY(ROW(INDIRECT($E92:$E116&amp;":"&amp;$F92:$F110)),1)=4))</f>
        <v>26</v>
      </c>
      <c r="K92" s="59">
        <f>SUMPRODUCT(--(WEEKDAY(ROW(INDIRECT($E92:$E116&amp;":"&amp;$F92:$F110)),1)=5))</f>
        <v>25</v>
      </c>
      <c r="L92" s="59">
        <f>SUMPRODUCT(--(WEEKDAY(ROW(INDIRECT($E92:$E116&amp;":"&amp;$F92:$F110)),1)=6))</f>
        <v>26</v>
      </c>
      <c r="M92" s="59">
        <f>SUMPRODUCT(--(WEEKDAY(ROW(INDIRECT($E92:$E116&amp;":"&amp;$F92:$F110)),1)=7))</f>
        <v>26</v>
      </c>
      <c r="N92" s="59">
        <f>SUM(H92:M92)</f>
        <v>155</v>
      </c>
      <c r="O92" s="47">
        <f>F92-E92+1</f>
        <v>181</v>
      </c>
      <c r="P92" s="47"/>
      <c r="Q92" s="60" t="str">
        <f>VLOOKUP($B92,'[2]T01.2025'!C86:F7439,4,0)</f>
        <v>1039769837</v>
      </c>
      <c r="R92" s="58"/>
      <c r="S92" s="58"/>
      <c r="T92" s="1" t="s">
        <v>111</v>
      </c>
      <c r="U92" s="6" t="s">
        <v>89</v>
      </c>
      <c r="V92" s="75"/>
    </row>
    <row r="93" ht="31.5" customHeight="1" spans="1:22" x14ac:dyDescent="0.25">
      <c r="A93" s="47">
        <v>6</v>
      </c>
      <c r="B93" s="56"/>
      <c r="C93" s="57" t="e">
        <f>VLOOKUP($B93,[1]Sheet1!$F$5:$G$50270,2,0)</f>
        <v>#N/A</v>
      </c>
      <c r="D93" s="47" t="e">
        <f>VLOOKUP($B93,'[2]Số sổ BHXH T05'!$B$11:$K$11515,4,0)</f>
        <v>#N/A</v>
      </c>
      <c r="E93" s="58"/>
      <c r="F93" s="58"/>
      <c r="G93" s="59" t="e">
        <f>SUMPRODUCT(--(WEEKDAY(ROW(INDIRECT($E93:$E120&amp;":"&amp;$F93:$F115)),1)=1))</f>
        <v>#REF!</v>
      </c>
      <c r="H93" s="59" t="e">
        <f>SUMPRODUCT(--(WEEKDAY(ROW(INDIRECT($E93:$E120&amp;":"&amp;$F93:$F115)),1)=2))</f>
        <v>#REF!</v>
      </c>
      <c r="I93" s="59" t="e">
        <f>SUMPRODUCT(--(WEEKDAY(ROW(INDIRECT($E93:$E120&amp;":"&amp;$F93:$F115)),1)=3))</f>
        <v>#REF!</v>
      </c>
      <c r="J93" s="59" t="e">
        <f>SUMPRODUCT(--(WEEKDAY(ROW(INDIRECT($E93:$E120&amp;":"&amp;$F93:$F115)),1)=4))</f>
        <v>#REF!</v>
      </c>
      <c r="K93" s="59" t="e">
        <f>SUMPRODUCT(--(WEEKDAY(ROW(INDIRECT($E93:$E120&amp;":"&amp;$F93:$F115)),1)=5))</f>
        <v>#REF!</v>
      </c>
      <c r="L93" s="59" t="e">
        <f>SUMPRODUCT(--(WEEKDAY(ROW(INDIRECT($E93:$E120&amp;":"&amp;$F93:$F115)),1)=6))</f>
        <v>#REF!</v>
      </c>
      <c r="M93" s="59" t="e">
        <f>SUMPRODUCT(--(WEEKDAY(ROW(INDIRECT($E93:$E120&amp;":"&amp;$F93:$F115)),1)=7))</f>
        <v>#REF!</v>
      </c>
      <c r="N93" s="59" t="e">
        <f t="shared" si="23"/>
        <v>#REF!</v>
      </c>
      <c r="O93" s="47">
        <f t="shared" si="24"/>
        <v>1</v>
      </c>
      <c r="P93" s="47"/>
      <c r="Q93" s="60" t="e">
        <f>VLOOKUP($B93,'[2]T01.2025'!C91:F7444,4,0)</f>
        <v>#N/A</v>
      </c>
      <c r="R93" s="58"/>
      <c r="S93" s="58"/>
      <c r="T93" s="1" t="s">
        <v>111</v>
      </c>
      <c r="U93" s="6"/>
      <c r="V93" s="75"/>
    </row>
    <row r="94" ht="31.5" customHeight="1" spans="1:19" x14ac:dyDescent="0.25">
      <c r="A94" s="35" t="s">
        <v>81</v>
      </c>
      <c r="B94" s="36"/>
      <c r="C94" s="36"/>
      <c r="D94" s="36"/>
      <c r="E94" s="36"/>
      <c r="F94" s="37"/>
      <c r="G94" s="37"/>
      <c r="H94" s="37"/>
      <c r="I94" s="37"/>
      <c r="J94" s="37"/>
      <c r="K94" s="37"/>
      <c r="L94" s="37"/>
      <c r="M94" s="37"/>
      <c r="N94" s="37"/>
      <c r="O94" s="48">
        <f>SUM(O92:O93)</f>
        <v>182</v>
      </c>
      <c r="P94" s="48"/>
      <c r="Q94" s="60"/>
      <c r="R94" s="47"/>
      <c r="S94" s="61"/>
    </row>
    <row r="95" ht="31.5" customHeight="1" spans="1:21" x14ac:dyDescent="0.25">
      <c r="A95" s="48" t="s">
        <v>122</v>
      </c>
      <c r="B95" s="49"/>
      <c r="C95" s="102" t="s">
        <v>123</v>
      </c>
      <c r="D95" s="73"/>
      <c r="E95" s="73"/>
      <c r="F95" s="73"/>
      <c r="G95" s="73"/>
      <c r="H95" s="73"/>
      <c r="I95" s="73"/>
      <c r="J95" s="73"/>
      <c r="K95" s="73"/>
      <c r="L95" s="73"/>
      <c r="M95" s="73"/>
      <c r="N95" s="73"/>
      <c r="O95" s="73"/>
      <c r="P95" s="73"/>
      <c r="Q95" s="103"/>
      <c r="R95" s="48"/>
      <c r="S95" s="54"/>
      <c r="T95" s="12"/>
      <c r="U95" s="16"/>
    </row>
    <row r="96" ht="31.5" customHeight="1" spans="1:28" x14ac:dyDescent="0.25">
      <c r="A96" s="47" t="s">
        <v>86</v>
      </c>
      <c r="B96" s="101"/>
      <c r="C96" s="104" t="s">
        <v>124</v>
      </c>
      <c r="D96" s="105"/>
      <c r="E96" s="105"/>
      <c r="F96" s="105"/>
      <c r="G96" s="55" t="s">
        <v>32</v>
      </c>
      <c r="H96" s="55" t="s">
        <v>33</v>
      </c>
      <c r="I96" s="55" t="s">
        <v>34</v>
      </c>
      <c r="J96" s="55" t="s">
        <v>35</v>
      </c>
      <c r="K96" s="55" t="s">
        <v>36</v>
      </c>
      <c r="L96" s="55" t="s">
        <v>37</v>
      </c>
      <c r="M96" s="55" t="s">
        <v>38</v>
      </c>
      <c r="N96" s="55" t="s">
        <v>39</v>
      </c>
      <c r="O96" s="106"/>
      <c r="P96" s="106"/>
      <c r="Q96" s="53"/>
      <c r="R96" s="48"/>
      <c r="S96" s="58"/>
      <c r="T96" s="98"/>
      <c r="U96" s="98"/>
      <c r="V96" s="75"/>
      <c r="W96" s="2"/>
      <c r="Y96" s="88"/>
      <c r="AB96" s="88"/>
    </row>
    <row r="97" ht="39.75" customHeight="1" spans="1:23" x14ac:dyDescent="0.25">
      <c r="A97" s="47">
        <v>1</v>
      </c>
      <c r="B97" s="56" t="s">
        <v>125</v>
      </c>
      <c r="C97" s="57" t="str">
        <f>VLOOKUP($B97,[1]Sheet1!$F$5:$G$50270,2,0)</f>
        <v>NGUYỄN VĂN HỢI</v>
      </c>
      <c r="D97" s="47" t="str">
        <f>VLOOKUP($B97,'[2]Số sổ BHXH T05'!$B$11:$K$11515,4,0)</f>
        <v>2420386829</v>
      </c>
      <c r="E97" s="58">
        <v>45968</v>
      </c>
      <c r="F97" s="58">
        <v>45973</v>
      </c>
      <c r="G97" s="59">
        <f>SUMPRODUCT(--(WEEKDAY(ROW(INDIRECT($E97:$E130&amp;":"&amp;$F97:$F123)),1)=1))</f>
        <v>1</v>
      </c>
      <c r="H97" s="59">
        <f>SUMPRODUCT(--(WEEKDAY(ROW(INDIRECT($E97:$E130&amp;":"&amp;$F97:$F123)),1)=2))</f>
        <v>1</v>
      </c>
      <c r="I97" s="59">
        <f>SUMPRODUCT(--(WEEKDAY(ROW(INDIRECT($E97:$E130&amp;":"&amp;$F97:$F123)),1)=3))</f>
        <v>1</v>
      </c>
      <c r="J97" s="59">
        <f>SUMPRODUCT(--(WEEKDAY(ROW(INDIRECT($E97:$E130&amp;":"&amp;$F97:$F123)),1)=4))</f>
        <v>1</v>
      </c>
      <c r="K97" s="59">
        <f>SUMPRODUCT(--(WEEKDAY(ROW(INDIRECT($E97:$E130&amp;":"&amp;$F97:$F123)),1)=5))</f>
        <v>0</v>
      </c>
      <c r="L97" s="59">
        <f>SUMPRODUCT(--(WEEKDAY(ROW(INDIRECT($E97:$E130&amp;":"&amp;$F97:$F123)),1)=6))</f>
        <v>1</v>
      </c>
      <c r="M97" s="59">
        <f>SUMPRODUCT(--(WEEKDAY(ROW(INDIRECT($E97:$E130&amp;":"&amp;$F97:$F123)),1)=7))</f>
        <v>1</v>
      </c>
      <c r="N97" s="59">
        <f t="shared" ref="N97:N98" si="25">SUM(H97:M97)</f>
        <v>5</v>
      </c>
      <c r="O97" s="47">
        <f t="shared" ref="O97:O98" si="26">F97-E97+1</f>
        <v>6</v>
      </c>
      <c r="P97" s="47"/>
      <c r="Q97" s="60" t="str">
        <f>VLOOKUP($B97,'[2]T01.2025'!C101:F7454,4,0)</f>
        <v>0351001104647</v>
      </c>
      <c r="R97" s="58"/>
      <c r="S97" s="60"/>
      <c r="T97" s="1" t="s">
        <v>126</v>
      </c>
      <c r="U97" s="6" t="s">
        <v>89</v>
      </c>
      <c r="V97" s="75"/>
      <c r="W97" s="2"/>
    </row>
    <row r="98" ht="39.75" customHeight="1" spans="1:23" x14ac:dyDescent="0.25">
      <c r="A98" s="47">
        <v>2</v>
      </c>
      <c r="B98" s="56"/>
      <c r="C98" s="57" t="e">
        <f>VLOOKUP($B98,[1]Sheet1!$F$5:$G$50270,2,0)</f>
        <v>#N/A</v>
      </c>
      <c r="D98" s="47" t="e">
        <f>VLOOKUP($B98,'[2]Số sổ BHXH T05'!$B$11:$K$11515,4,0)</f>
        <v>#N/A</v>
      </c>
      <c r="E98" s="58"/>
      <c r="F98" s="58"/>
      <c r="G98" s="59" t="e">
        <f>SUMPRODUCT(--(WEEKDAY(ROW(INDIRECT($E98:$E131&amp;":"&amp;$F98:$F124)),1)=1))</f>
        <v>#REF!</v>
      </c>
      <c r="H98" s="59" t="e">
        <f>SUMPRODUCT(--(WEEKDAY(ROW(INDIRECT($E98:$E131&amp;":"&amp;$F98:$F124)),1)=2))</f>
        <v>#REF!</v>
      </c>
      <c r="I98" s="59" t="e">
        <f>SUMPRODUCT(--(WEEKDAY(ROW(INDIRECT($E98:$E131&amp;":"&amp;$F98:$F124)),1)=3))</f>
        <v>#REF!</v>
      </c>
      <c r="J98" s="59" t="e">
        <f>SUMPRODUCT(--(WEEKDAY(ROW(INDIRECT($E98:$E131&amp;":"&amp;$F98:$F124)),1)=4))</f>
        <v>#REF!</v>
      </c>
      <c r="K98" s="59" t="e">
        <f>SUMPRODUCT(--(WEEKDAY(ROW(INDIRECT($E98:$E131&amp;":"&amp;$F98:$F124)),1)=5))</f>
        <v>#REF!</v>
      </c>
      <c r="L98" s="59" t="e">
        <f>SUMPRODUCT(--(WEEKDAY(ROW(INDIRECT($E98:$E131&amp;":"&amp;$F98:$F124)),1)=6))</f>
        <v>#REF!</v>
      </c>
      <c r="M98" s="59" t="e">
        <f>SUMPRODUCT(--(WEEKDAY(ROW(INDIRECT($E98:$E131&amp;":"&amp;$F98:$F124)),1)=7))</f>
        <v>#REF!</v>
      </c>
      <c r="N98" s="59" t="e">
        <f t="shared" si="25"/>
        <v>#REF!</v>
      </c>
      <c r="O98" s="47">
        <f t="shared" si="26"/>
        <v>1</v>
      </c>
      <c r="P98" s="47"/>
      <c r="Q98" s="60" t="e">
        <f>VLOOKUP($B98,'[2]T01.2025'!C102:F7455,4,0)</f>
        <v>#N/A</v>
      </c>
      <c r="R98" s="58"/>
      <c r="S98" s="60"/>
      <c r="T98" s="1" t="s">
        <v>126</v>
      </c>
      <c r="U98" s="6"/>
      <c r="V98" s="75"/>
      <c r="W98" s="2"/>
    </row>
    <row r="99" ht="31.5" customHeight="1" spans="1:20" x14ac:dyDescent="0.25">
      <c r="A99" s="35" t="s">
        <v>81</v>
      </c>
      <c r="B99" s="36"/>
      <c r="C99" s="36"/>
      <c r="D99" s="36"/>
      <c r="E99" s="36"/>
      <c r="F99" s="37"/>
      <c r="G99" s="37"/>
      <c r="H99" s="37"/>
      <c r="I99" s="37"/>
      <c r="J99" s="37"/>
      <c r="K99" s="37"/>
      <c r="L99" s="37"/>
      <c r="M99" s="37"/>
      <c r="N99" s="37"/>
      <c r="O99" s="48">
        <f>SUM(O97:O98)</f>
        <v>7</v>
      </c>
      <c r="P99" s="48"/>
      <c r="Q99" s="60"/>
      <c r="R99" s="58"/>
      <c r="S99" s="61"/>
      <c r="T99" s="10"/>
    </row>
    <row r="100" ht="31.5" customHeight="1" spans="1:28" x14ac:dyDescent="0.25">
      <c r="A100" s="47" t="s">
        <v>86</v>
      </c>
      <c r="B100" s="101"/>
      <c r="C100" s="104" t="s">
        <v>127</v>
      </c>
      <c r="D100" s="105"/>
      <c r="E100" s="105"/>
      <c r="F100" s="105"/>
      <c r="G100" s="55" t="s">
        <v>32</v>
      </c>
      <c r="H100" s="55" t="s">
        <v>33</v>
      </c>
      <c r="I100" s="55" t="s">
        <v>34</v>
      </c>
      <c r="J100" s="55" t="s">
        <v>35</v>
      </c>
      <c r="K100" s="55" t="s">
        <v>36</v>
      </c>
      <c r="L100" s="55" t="s">
        <v>37</v>
      </c>
      <c r="M100" s="55" t="s">
        <v>38</v>
      </c>
      <c r="N100" s="55" t="s">
        <v>39</v>
      </c>
      <c r="O100" s="106"/>
      <c r="P100" s="106"/>
      <c r="Q100" s="53"/>
      <c r="R100" s="48"/>
      <c r="S100" s="58"/>
      <c r="T100" s="98"/>
      <c r="U100" s="98"/>
      <c r="V100" s="75"/>
      <c r="W100" s="2"/>
      <c r="Y100" s="88"/>
      <c r="AB100" s="88"/>
    </row>
    <row r="101" ht="39.75" customHeight="1" spans="1:23" x14ac:dyDescent="0.25">
      <c r="A101" s="47">
        <v>1</v>
      </c>
      <c r="B101" s="56" t="s">
        <v>128</v>
      </c>
      <c r="C101" s="57" t="str">
        <f>VLOOKUP($B101,[1]Sheet1!$F$5:$G$50270,2,0)</f>
        <v>NGUYỄN XUÂN ĐỒNG</v>
      </c>
      <c r="D101" s="47" t="str">
        <f>VLOOKUP($B101,'[2]Số sổ BHXH T05'!$B$11:$K$11515,4,0)</f>
        <v>2422465203</v>
      </c>
      <c r="E101" s="58">
        <v>45966</v>
      </c>
      <c r="F101" s="58">
        <v>45973</v>
      </c>
      <c r="G101" s="59">
        <f>SUMPRODUCT(--(WEEKDAY(ROW(INDIRECT($E97:$E129&amp;":"&amp;$F97:$F122)),1)=1))</f>
        <v>1</v>
      </c>
      <c r="H101" s="59">
        <f>SUMPRODUCT(--(WEEKDAY(ROW(INDIRECT($E97:$E129&amp;":"&amp;$F97:$F122)),1)=2))</f>
        <v>1</v>
      </c>
      <c r="I101" s="59">
        <f>SUMPRODUCT(--(WEEKDAY(ROW(INDIRECT($E97:$E129&amp;":"&amp;$F97:$F122)),1)=3))</f>
        <v>1</v>
      </c>
      <c r="J101" s="59">
        <f>SUMPRODUCT(--(WEEKDAY(ROW(INDIRECT($E97:$E129&amp;":"&amp;$F97:$F122)),1)=4))</f>
        <v>2</v>
      </c>
      <c r="K101" s="59">
        <f>SUMPRODUCT(--(WEEKDAY(ROW(INDIRECT($E97:$E129&amp;":"&amp;$F97:$F122)),1)=5))</f>
        <v>1</v>
      </c>
      <c r="L101" s="59">
        <f>SUMPRODUCT(--(WEEKDAY(ROW(INDIRECT($E97:$E129&amp;":"&amp;$F97:$F122)),1)=6))</f>
        <v>1</v>
      </c>
      <c r="M101" s="59">
        <f>SUMPRODUCT(--(WEEKDAY(ROW(INDIRECT($E97:$E129&amp;":"&amp;$F97:$F122)),1)=7))</f>
        <v>1</v>
      </c>
      <c r="N101" s="59">
        <f>SUM(H101:M101)</f>
        <v>7</v>
      </c>
      <c r="O101" s="47">
        <f>F101-E101+1</f>
        <v>8</v>
      </c>
      <c r="P101" s="47"/>
      <c r="Q101" s="60" t="str">
        <f>VLOOKUP($B101,'[2]T01.2025'!C109:F7462,4,0)</f>
        <v>1012982495</v>
      </c>
      <c r="R101" s="58"/>
      <c r="S101" s="60"/>
      <c r="T101" s="1" t="s">
        <v>126</v>
      </c>
      <c r="U101" s="6" t="s">
        <v>117</v>
      </c>
      <c r="V101" s="75"/>
      <c r="W101" s="2"/>
    </row>
    <row r="102" ht="39.75" customHeight="1" spans="1:23" x14ac:dyDescent="0.25">
      <c r="A102" s="47">
        <v>2</v>
      </c>
      <c r="B102" s="56"/>
      <c r="C102" s="57" t="e">
        <f>VLOOKUP($B102,[1]Sheet1!$F$5:$G$50270,2,0)</f>
        <v>#N/A</v>
      </c>
      <c r="D102" s="47" t="e">
        <f>VLOOKUP($B102,'[2]Số sổ BHXH T05'!$B$11:$K$11515,4,0)</f>
        <v>#N/A</v>
      </c>
      <c r="E102" s="58"/>
      <c r="F102" s="58"/>
      <c r="G102" s="59" t="e">
        <f>SUMPRODUCT(--(WEEKDAY(ROW(INDIRECT($E98:$E130&amp;":"&amp;$F98:$F123)),1)=1))</f>
        <v>#REF!</v>
      </c>
      <c r="H102" s="59" t="e">
        <f>SUMPRODUCT(--(WEEKDAY(ROW(INDIRECT($E98:$E130&amp;":"&amp;$F98:$F123)),1)=2))</f>
        <v>#REF!</v>
      </c>
      <c r="I102" s="59" t="e">
        <f>SUMPRODUCT(--(WEEKDAY(ROW(INDIRECT($E98:$E130&amp;":"&amp;$F98:$F123)),1)=3))</f>
        <v>#REF!</v>
      </c>
      <c r="J102" s="59" t="e">
        <f>SUMPRODUCT(--(WEEKDAY(ROW(INDIRECT($E98:$E130&amp;":"&amp;$F98:$F123)),1)=4))</f>
        <v>#REF!</v>
      </c>
      <c r="K102" s="59" t="e">
        <f>SUMPRODUCT(--(WEEKDAY(ROW(INDIRECT($E98:$E130&amp;":"&amp;$F98:$F123)),1)=5))</f>
        <v>#REF!</v>
      </c>
      <c r="L102" s="59" t="e">
        <f>SUMPRODUCT(--(WEEKDAY(ROW(INDIRECT($E98:$E130&amp;":"&amp;$F98:$F123)),1)=6))</f>
        <v>#REF!</v>
      </c>
      <c r="M102" s="59" t="e">
        <f>SUMPRODUCT(--(WEEKDAY(ROW(INDIRECT($E98:$E130&amp;":"&amp;$F98:$F123)),1)=7))</f>
        <v>#REF!</v>
      </c>
      <c r="N102" s="59" t="e">
        <f>SUM(H102:M102)</f>
        <v>#REF!</v>
      </c>
      <c r="O102" s="47">
        <f t="shared" ref="O102:O103" si="27">F102-E102+1</f>
        <v>1</v>
      </c>
      <c r="P102" s="47"/>
      <c r="Q102" s="60" t="e">
        <f>VLOOKUP($B102,'[2]T01.2025'!C110:F7463,4,0)</f>
        <v>#N/A</v>
      </c>
      <c r="R102" s="58"/>
      <c r="S102" s="60"/>
      <c r="T102" s="1"/>
      <c r="U102" s="6"/>
      <c r="V102" s="75"/>
      <c r="W102" s="2"/>
    </row>
    <row r="103" ht="39.75" customHeight="1" spans="1:23" x14ac:dyDescent="0.25">
      <c r="A103" s="47">
        <v>3</v>
      </c>
      <c r="B103" s="56"/>
      <c r="C103" s="57" t="e">
        <f>VLOOKUP($B103,[1]Sheet1!$F$5:$G$58270,2,0)</f>
        <v>#N/A</v>
      </c>
      <c r="D103" s="47" t="e">
        <f>VLOOKUP($B103,'[2]Số sổ BHXH T05'!$B$11:$K$11515,4,0)</f>
        <v>#N/A</v>
      </c>
      <c r="E103" s="58"/>
      <c r="F103" s="58"/>
      <c r="G103" s="59" t="e">
        <f>SUMPRODUCT(--(WEEKDAY(ROW(INDIRECT($E103:$E132&amp;":"&amp;$F103:$F125)),1)=1))</f>
        <v>#REF!</v>
      </c>
      <c r="H103" s="59" t="e">
        <f>SUMPRODUCT(--(WEEKDAY(ROW(INDIRECT($E103:$E132&amp;":"&amp;$F103:$F125)),1)=2))</f>
        <v>#REF!</v>
      </c>
      <c r="I103" s="59" t="e">
        <f>SUMPRODUCT(--(WEEKDAY(ROW(INDIRECT($E103:$E132&amp;":"&amp;$F103:$F125)),1)=3))</f>
        <v>#REF!</v>
      </c>
      <c r="J103" s="59" t="e">
        <f>SUMPRODUCT(--(WEEKDAY(ROW(INDIRECT($E103:$E132&amp;":"&amp;$F103:$F125)),1)=4))</f>
        <v>#REF!</v>
      </c>
      <c r="K103" s="59" t="e">
        <f>SUMPRODUCT(--(WEEKDAY(ROW(INDIRECT($E103:$E132&amp;":"&amp;$F103:$F125)),1)=5))</f>
        <v>#REF!</v>
      </c>
      <c r="L103" s="59" t="e">
        <f>SUMPRODUCT(--(WEEKDAY(ROW(INDIRECT($E103:$E132&amp;":"&amp;$F103:$F125)),1)=6))</f>
        <v>#REF!</v>
      </c>
      <c r="M103" s="59" t="e">
        <f>SUMPRODUCT(--(WEEKDAY(ROW(INDIRECT($E103:$E132&amp;":"&amp;$F103:$F125)),1)=7))</f>
        <v>#REF!</v>
      </c>
      <c r="N103" s="59" t="e">
        <f>SUM(H103:M103)</f>
        <v>#REF!</v>
      </c>
      <c r="O103" s="47">
        <f t="shared" si="27"/>
        <v>1</v>
      </c>
      <c r="P103" s="47"/>
      <c r="Q103" s="60" t="e">
        <f>VLOOKUP($B103,'[2]T01.2025'!C110:F7463,4,0)</f>
        <v>#N/A</v>
      </c>
      <c r="R103" s="58"/>
      <c r="S103" s="60"/>
      <c r="T103" s="1" t="s">
        <v>126</v>
      </c>
      <c r="U103" s="6"/>
      <c r="V103" s="75"/>
      <c r="W103" s="2"/>
    </row>
    <row r="104" ht="31.5" customHeight="1" spans="1:25" x14ac:dyDescent="0.25">
      <c r="A104" s="35" t="s">
        <v>81</v>
      </c>
      <c r="B104" s="36"/>
      <c r="C104" s="36"/>
      <c r="D104" s="36"/>
      <c r="E104" s="36"/>
      <c r="F104" s="37"/>
      <c r="G104" s="37"/>
      <c r="H104" s="37"/>
      <c r="I104" s="37"/>
      <c r="J104" s="37"/>
      <c r="K104" s="37"/>
      <c r="L104" s="37"/>
      <c r="M104" s="37"/>
      <c r="N104" s="37"/>
      <c r="O104" s="47">
        <f>SUM(O101:O103)</f>
        <v>10</v>
      </c>
      <c r="P104" s="48"/>
      <c r="Q104" s="60"/>
      <c r="R104" s="58"/>
      <c r="S104" s="61"/>
      <c r="T104" s="10"/>
      <c r="U104" s="98"/>
      <c r="V104" s="75"/>
      <c r="Y104" s="88"/>
    </row>
    <row r="105" ht="31.5" customHeight="1" spans="1:25" x14ac:dyDescent="0.25">
      <c r="A105" s="48" t="s">
        <v>129</v>
      </c>
      <c r="B105" s="49"/>
      <c r="C105" s="102" t="s">
        <v>130</v>
      </c>
      <c r="D105" s="73"/>
      <c r="E105" s="73"/>
      <c r="F105" s="73"/>
      <c r="G105" s="73"/>
      <c r="H105" s="73"/>
      <c r="I105" s="73"/>
      <c r="J105" s="73"/>
      <c r="K105" s="73"/>
      <c r="L105" s="73"/>
      <c r="M105" s="73"/>
      <c r="N105" s="73"/>
      <c r="O105" s="73"/>
      <c r="P105" s="73"/>
      <c r="Q105" s="103"/>
      <c r="R105" s="48"/>
      <c r="S105" s="54"/>
      <c r="T105" s="12"/>
      <c r="U105" s="12"/>
      <c r="V105" s="6"/>
      <c r="Y105" s="29"/>
    </row>
    <row r="106" ht="31.5" customHeight="1" spans="1:22" x14ac:dyDescent="0.25">
      <c r="A106" s="47">
        <v>1</v>
      </c>
      <c r="B106" s="56" t="s">
        <v>128</v>
      </c>
      <c r="C106" s="57" t="str">
        <f>VLOOKUP($B106,[1]Sheet1!$F$5:$G$50270,2,0)</f>
        <v>NGUYỄN XUÂN ĐỒNG</v>
      </c>
      <c r="D106" s="64" t="str">
        <f>VLOOKUP($B106,'[3]Số sổ BHXH T01'!$B$11:$K$9918,4,0)</f>
        <v>2422465203</v>
      </c>
      <c r="E106" s="58"/>
      <c r="F106" s="58"/>
      <c r="G106" s="59" t="e">
        <f>SUMPRODUCT(--(WEEKDAY(ROW(INDIRECT($E106:$E155&amp;":"&amp;$F106:$F148)),1)=1))</f>
        <v>#REF!</v>
      </c>
      <c r="H106" s="59" t="e">
        <f>SUMPRODUCT(--(WEEKDAY(ROW(INDIRECT($E106:$E155&amp;":"&amp;$F106:$F148)),1)=2))</f>
        <v>#REF!</v>
      </c>
      <c r="I106" s="59" t="e">
        <f>SUMPRODUCT(--(WEEKDAY(ROW(INDIRECT($E106:$E155&amp;":"&amp;$F106:$F148)),1)=3))</f>
        <v>#REF!</v>
      </c>
      <c r="J106" s="59" t="e">
        <f>SUMPRODUCT(--(WEEKDAY(ROW(INDIRECT($E106:$E155&amp;":"&amp;$F106:$F148)),1)=4))</f>
        <v>#REF!</v>
      </c>
      <c r="K106" s="59" t="e">
        <f>SUMPRODUCT(--(WEEKDAY(ROW(INDIRECT($E106:$E155&amp;":"&amp;$F106:$F148)),1)=5))</f>
        <v>#REF!</v>
      </c>
      <c r="L106" s="59" t="e">
        <f>SUMPRODUCT(--(WEEKDAY(ROW(INDIRECT($E106:$E155&amp;":"&amp;$F106:$F148)),1)=6))</f>
        <v>#REF!</v>
      </c>
      <c r="M106" s="59" t="e">
        <f>SUMPRODUCT(--(WEEKDAY(ROW(INDIRECT($E106:$E155&amp;":"&amp;$F106:$F148)),1)=7))</f>
        <v>#REF!</v>
      </c>
      <c r="N106" s="59" t="e">
        <f t="shared" ref="N106:N107" si="28">SUM(H106:M106)</f>
        <v>#REF!</v>
      </c>
      <c r="O106" s="47">
        <f t="shared" ref="O106:O107" si="29">F106-E106+1</f>
        <v>1</v>
      </c>
      <c r="P106" s="47"/>
      <c r="Q106" s="60" t="str">
        <f>VLOOKUP($B106,'[4]Số TK T12'!$C$3:$I$7692,6,0)</f>
        <v>1012982495</v>
      </c>
      <c r="R106" s="58"/>
      <c r="S106" s="107"/>
      <c r="T106" s="1" t="s">
        <v>131</v>
      </c>
      <c r="U106" s="6" t="s">
        <v>132</v>
      </c>
      <c r="V106" s="2"/>
    </row>
    <row r="107" ht="31.5" customHeight="1" spans="1:22" x14ac:dyDescent="0.25">
      <c r="A107" s="47">
        <v>2</v>
      </c>
      <c r="B107" s="56"/>
      <c r="C107" s="57" t="e">
        <f>VLOOKUP($B107,[1]Sheet1!$F$5:$G$50270,2,0)</f>
        <v>#N/A</v>
      </c>
      <c r="D107" s="64" t="e">
        <f>VLOOKUP($B107,'[3]Số sổ BHXH T01'!$B$11:$K$9918,4,0)</f>
        <v>#N/A</v>
      </c>
      <c r="E107" s="58"/>
      <c r="F107" s="58"/>
      <c r="G107" s="59" t="e">
        <f>SUMPRODUCT(--(WEEKDAY(ROW(INDIRECT($E107:$E156&amp;":"&amp;$F107:$F149)),1)=1))</f>
        <v>#REF!</v>
      </c>
      <c r="H107" s="59" t="e">
        <f>SUMPRODUCT(--(WEEKDAY(ROW(INDIRECT($E107:$E156&amp;":"&amp;$F107:$F149)),1)=2))</f>
        <v>#REF!</v>
      </c>
      <c r="I107" s="59" t="e">
        <f>SUMPRODUCT(--(WEEKDAY(ROW(INDIRECT($E107:$E156&amp;":"&amp;$F107:$F149)),1)=3))</f>
        <v>#REF!</v>
      </c>
      <c r="J107" s="59" t="e">
        <f>SUMPRODUCT(--(WEEKDAY(ROW(INDIRECT($E107:$E156&amp;":"&amp;$F107:$F149)),1)=4))</f>
        <v>#REF!</v>
      </c>
      <c r="K107" s="59" t="e">
        <f>SUMPRODUCT(--(WEEKDAY(ROW(INDIRECT($E107:$E156&amp;":"&amp;$F107:$F149)),1)=5))</f>
        <v>#REF!</v>
      </c>
      <c r="L107" s="59" t="e">
        <f>SUMPRODUCT(--(WEEKDAY(ROW(INDIRECT($E107:$E156&amp;":"&amp;$F107:$F149)),1)=6))</f>
        <v>#REF!</v>
      </c>
      <c r="M107" s="59" t="e">
        <f>SUMPRODUCT(--(WEEKDAY(ROW(INDIRECT($E107:$E156&amp;":"&amp;$F107:$F149)),1)=7))</f>
        <v>#REF!</v>
      </c>
      <c r="N107" s="59" t="e">
        <f t="shared" si="28"/>
        <v>#REF!</v>
      </c>
      <c r="O107" s="47">
        <f t="shared" si="29"/>
        <v>1</v>
      </c>
      <c r="P107" s="47"/>
      <c r="Q107" s="60" t="e">
        <f>VLOOKUP($B107,'[4]Số TK T12'!$C$3:$I$7692,6,0)</f>
        <v>#N/A</v>
      </c>
      <c r="R107" s="108"/>
      <c r="S107" s="108"/>
      <c r="T107" s="1"/>
      <c r="U107" s="1"/>
      <c r="V107" s="1"/>
    </row>
    <row r="108" ht="31.5" customHeight="1" spans="1:20" x14ac:dyDescent="0.25">
      <c r="A108" s="35" t="s">
        <v>81</v>
      </c>
      <c r="B108" s="36"/>
      <c r="C108" s="36"/>
      <c r="D108" s="36"/>
      <c r="E108" s="36"/>
      <c r="F108" s="37"/>
      <c r="G108" s="37"/>
      <c r="H108" s="37"/>
      <c r="I108" s="37"/>
      <c r="J108" s="37"/>
      <c r="K108" s="37"/>
      <c r="L108" s="37"/>
      <c r="M108" s="37"/>
      <c r="N108" s="37"/>
      <c r="O108" s="48">
        <f>SUM(O106:O107)</f>
        <v>2</v>
      </c>
      <c r="P108" s="48"/>
      <c r="Q108" s="60"/>
      <c r="R108" s="58"/>
      <c r="S108" s="61"/>
      <c r="T108" s="10"/>
    </row>
    <row r="109" ht="27" customHeight="1" spans="1:21" x14ac:dyDescent="0.25">
      <c r="A109" s="48" t="s">
        <v>25</v>
      </c>
      <c r="B109" s="49"/>
      <c r="C109" s="102" t="s">
        <v>133</v>
      </c>
      <c r="D109" s="73"/>
      <c r="E109" s="73"/>
      <c r="F109" s="72"/>
      <c r="G109" s="72"/>
      <c r="H109" s="72"/>
      <c r="I109" s="72"/>
      <c r="J109" s="72"/>
      <c r="K109" s="72"/>
      <c r="L109" s="72"/>
      <c r="M109" s="72"/>
      <c r="N109" s="72"/>
      <c r="O109" s="72"/>
      <c r="P109" s="72"/>
      <c r="Q109" s="109"/>
      <c r="R109" s="110"/>
      <c r="S109" s="111"/>
      <c r="T109" s="2"/>
      <c r="U109" s="6"/>
    </row>
    <row r="110" ht="27" customHeight="1" spans="1:21" x14ac:dyDescent="0.25">
      <c r="A110" s="48" t="s">
        <v>30</v>
      </c>
      <c r="B110" s="49"/>
      <c r="C110" s="72" t="s">
        <v>134</v>
      </c>
      <c r="D110" s="72"/>
      <c r="E110" s="72"/>
      <c r="F110" s="72"/>
      <c r="G110" s="72"/>
      <c r="H110" s="72"/>
      <c r="I110" s="72"/>
      <c r="J110" s="72"/>
      <c r="K110" s="72"/>
      <c r="L110" s="72"/>
      <c r="M110" s="72"/>
      <c r="N110" s="72"/>
      <c r="O110" s="72"/>
      <c r="P110" s="72"/>
      <c r="Q110" s="109"/>
      <c r="R110" s="110"/>
      <c r="S110" s="111"/>
      <c r="T110" s="2"/>
      <c r="U110" s="6"/>
    </row>
    <row r="111" ht="30.75" customHeight="1" spans="1:22" x14ac:dyDescent="0.25">
      <c r="A111" s="48" t="s">
        <v>86</v>
      </c>
      <c r="B111" s="49"/>
      <c r="C111" s="112" t="s">
        <v>135</v>
      </c>
      <c r="D111" s="113"/>
      <c r="E111" s="113"/>
      <c r="F111" s="114"/>
      <c r="G111" s="55" t="s">
        <v>32</v>
      </c>
      <c r="H111" s="55" t="s">
        <v>33</v>
      </c>
      <c r="I111" s="55" t="s">
        <v>34</v>
      </c>
      <c r="J111" s="55" t="s">
        <v>35</v>
      </c>
      <c r="K111" s="55" t="s">
        <v>36</v>
      </c>
      <c r="L111" s="55" t="s">
        <v>37</v>
      </c>
      <c r="M111" s="55" t="s">
        <v>38</v>
      </c>
      <c r="N111" s="55" t="s">
        <v>39</v>
      </c>
      <c r="O111" s="115"/>
      <c r="P111" s="115"/>
      <c r="Q111" s="108"/>
      <c r="R111" s="116"/>
      <c r="S111" s="108"/>
      <c r="U111" s="6"/>
      <c r="V111" s="75"/>
    </row>
    <row r="112" ht="31.5" customHeight="1" spans="1:23" x14ac:dyDescent="0.25">
      <c r="A112" s="47">
        <v>1</v>
      </c>
      <c r="B112" s="56" t="s">
        <v>136</v>
      </c>
      <c r="C112" s="57" t="str">
        <f>VLOOKUP($B112,[1]Sheet1!$F$5:$G$50270,2,0)</f>
        <v>NGÔ THỊ QUÝ</v>
      </c>
      <c r="D112" s="47" t="str">
        <f>VLOOKUP($B112,'[2]Số sổ BHXH T05'!$B$11:$K$11515,4,0)</f>
        <v>2416098261</v>
      </c>
      <c r="E112" s="58">
        <v>45981</v>
      </c>
      <c r="F112" s="58">
        <v>45985</v>
      </c>
      <c r="G112" s="59">
        <f>SUMPRODUCT(--(WEEKDAY(ROW(INDIRECT($E112:$E150&amp;":"&amp;$F112:$F143)),1)=1))</f>
        <v>1</v>
      </c>
      <c r="H112" s="59">
        <f>SUMPRODUCT(--(WEEKDAY(ROW(INDIRECT($E112:$E150&amp;":"&amp;$F112:$F143)),1)=2))</f>
        <v>1</v>
      </c>
      <c r="I112" s="59">
        <f>SUMPRODUCT(--(WEEKDAY(ROW(INDIRECT($E112:$E150&amp;":"&amp;$F112:$F143)),1)=3))</f>
        <v>0</v>
      </c>
      <c r="J112" s="59">
        <f>SUMPRODUCT(--(WEEKDAY(ROW(INDIRECT($E112:$E150&amp;":"&amp;$F112:$F143)),1)=4))</f>
        <v>0</v>
      </c>
      <c r="K112" s="59">
        <f>SUMPRODUCT(--(WEEKDAY(ROW(INDIRECT($E112:$E150&amp;":"&amp;$F112:$F143)),1)=5))</f>
        <v>1</v>
      </c>
      <c r="L112" s="59">
        <f>SUMPRODUCT(--(WEEKDAY(ROW(INDIRECT($E112:$E150&amp;":"&amp;$F112:$F143)),1)=6))</f>
        <v>1</v>
      </c>
      <c r="M112" s="59">
        <f>SUMPRODUCT(--(WEEKDAY(ROW(INDIRECT($E112:$E150&amp;":"&amp;$F112:$F143)),1)=7))</f>
        <v>1</v>
      </c>
      <c r="N112" s="59">
        <f t="shared" ref="N112:N116" si="30">SUM(H112:M112)</f>
        <v>4</v>
      </c>
      <c r="O112" s="47">
        <f t="shared" ref="O112:O116" si="31">F112-E112+1</f>
        <v>5</v>
      </c>
      <c r="P112" s="47"/>
      <c r="Q112" s="60" t="str">
        <f>VLOOKUP($B112,'[2]T01.2025'!C122:F7475,4,0)</f>
        <v>0351000667416</v>
      </c>
      <c r="R112" s="58"/>
      <c r="S112" s="68" t="s">
        <v>137</v>
      </c>
      <c r="T112" s="1" t="s">
        <v>138</v>
      </c>
      <c r="U112" s="6" t="s">
        <v>139</v>
      </c>
      <c r="V112" s="75"/>
      <c r="W112" s="2">
        <f t="shared" ref="W112:W116" si="32">N112-O112</f>
        <v>-1</v>
      </c>
    </row>
    <row r="113" ht="31.5" customHeight="1" spans="1:23" x14ac:dyDescent="0.25">
      <c r="A113" s="47">
        <v>2</v>
      </c>
      <c r="B113" s="56" t="s">
        <v>140</v>
      </c>
      <c r="C113" s="57" t="str">
        <f>VLOOKUP($B113,[1]Sheet1!$F$5:$G$50270,2,0)</f>
        <v>VŨ THỊ TUYẾT</v>
      </c>
      <c r="D113" s="47" t="str">
        <f>VLOOKUP($B113,'[2]Số sổ BHXH T05'!$B$11:$K$11515,4,0)</f>
        <v>2420226569</v>
      </c>
      <c r="E113" s="58">
        <v>45982</v>
      </c>
      <c r="F113" s="58">
        <v>45986</v>
      </c>
      <c r="G113" s="59">
        <f>SUMPRODUCT(--(WEEKDAY(ROW(INDIRECT($E113:$E151&amp;":"&amp;$F113:$F144)),1)=1))</f>
        <v>1</v>
      </c>
      <c r="H113" s="59">
        <f>SUMPRODUCT(--(WEEKDAY(ROW(INDIRECT($E113:$E151&amp;":"&amp;$F113:$F144)),1)=2))</f>
        <v>1</v>
      </c>
      <c r="I113" s="59">
        <f>SUMPRODUCT(--(WEEKDAY(ROW(INDIRECT($E113:$E151&amp;":"&amp;$F113:$F144)),1)=3))</f>
        <v>1</v>
      </c>
      <c r="J113" s="59">
        <f>SUMPRODUCT(--(WEEKDAY(ROW(INDIRECT($E113:$E151&amp;":"&amp;$F113:$F144)),1)=4))</f>
        <v>0</v>
      </c>
      <c r="K113" s="59">
        <f>SUMPRODUCT(--(WEEKDAY(ROW(INDIRECT($E113:$E151&amp;":"&amp;$F113:$F144)),1)=5))</f>
        <v>0</v>
      </c>
      <c r="L113" s="59">
        <f>SUMPRODUCT(--(WEEKDAY(ROW(INDIRECT($E113:$E151&amp;":"&amp;$F113:$F144)),1)=6))</f>
        <v>1</v>
      </c>
      <c r="M113" s="59">
        <f>SUMPRODUCT(--(WEEKDAY(ROW(INDIRECT($E113:$E151&amp;":"&amp;$F113:$F144)),1)=7))</f>
        <v>1</v>
      </c>
      <c r="N113" s="59">
        <f t="shared" si="30"/>
        <v>4</v>
      </c>
      <c r="O113" s="47">
        <f t="shared" si="31"/>
        <v>5</v>
      </c>
      <c r="P113" s="47"/>
      <c r="Q113" s="60" t="str">
        <f>VLOOKUP($B113,'[2]T01.2025'!C123:F7476,4,0)</f>
        <v>0731000808999</v>
      </c>
      <c r="R113" s="58"/>
      <c r="S113" s="68" t="s">
        <v>137</v>
      </c>
      <c r="T113" s="1" t="s">
        <v>138</v>
      </c>
      <c r="U113" s="6" t="s">
        <v>139</v>
      </c>
      <c r="V113" s="75"/>
      <c r="W113" s="2">
        <f t="shared" si="32"/>
        <v>-1</v>
      </c>
    </row>
    <row r="114" ht="31.5" customHeight="1" spans="1:23" x14ac:dyDescent="0.25">
      <c r="A114" s="47">
        <v>3</v>
      </c>
      <c r="B114" s="56"/>
      <c r="C114" s="57" t="e">
        <f>VLOOKUP($B114,[1]Sheet1!$F$5:$G$50270,2,0)</f>
        <v>#N/A</v>
      </c>
      <c r="D114" s="47" t="e">
        <f>VLOOKUP($B114,'[2]Số sổ BHXH T05'!$B$11:$K$11515,4,0)</f>
        <v>#N/A</v>
      </c>
      <c r="E114" s="58"/>
      <c r="F114" s="58"/>
      <c r="G114" s="59" t="e">
        <f>SUMPRODUCT(--(WEEKDAY(ROW(INDIRECT($E114:$E152&amp;":"&amp;$F114:$F145)),1)=1))</f>
        <v>#REF!</v>
      </c>
      <c r="H114" s="59" t="e">
        <f>SUMPRODUCT(--(WEEKDAY(ROW(INDIRECT($E114:$E152&amp;":"&amp;$F114:$F145)),1)=2))</f>
        <v>#REF!</v>
      </c>
      <c r="I114" s="59" t="e">
        <f>SUMPRODUCT(--(WEEKDAY(ROW(INDIRECT($E114:$E152&amp;":"&amp;$F114:$F145)),1)=3))</f>
        <v>#REF!</v>
      </c>
      <c r="J114" s="59" t="e">
        <f>SUMPRODUCT(--(WEEKDAY(ROW(INDIRECT($E114:$E152&amp;":"&amp;$F114:$F145)),1)=4))</f>
        <v>#REF!</v>
      </c>
      <c r="K114" s="59" t="e">
        <f>SUMPRODUCT(--(WEEKDAY(ROW(INDIRECT($E114:$E152&amp;":"&amp;$F114:$F145)),1)=5))</f>
        <v>#REF!</v>
      </c>
      <c r="L114" s="59" t="e">
        <f>SUMPRODUCT(--(WEEKDAY(ROW(INDIRECT($E114:$E152&amp;":"&amp;$F114:$F145)),1)=6))</f>
        <v>#REF!</v>
      </c>
      <c r="M114" s="59" t="e">
        <f>SUMPRODUCT(--(WEEKDAY(ROW(INDIRECT($E114:$E152&amp;":"&amp;$F114:$F145)),1)=7))</f>
        <v>#REF!</v>
      </c>
      <c r="N114" s="59" t="e">
        <f t="shared" si="30"/>
        <v>#REF!</v>
      </c>
      <c r="O114" s="47">
        <f t="shared" si="31"/>
        <v>1</v>
      </c>
      <c r="P114" s="47"/>
      <c r="Q114" s="60" t="e">
        <f>VLOOKUP($B114,'[2]T01.2025'!C124:F7477,4,0)</f>
        <v>#N/A</v>
      </c>
      <c r="R114" s="58"/>
      <c r="S114" s="68"/>
      <c r="T114" s="1" t="s">
        <v>138</v>
      </c>
      <c r="U114" s="6" t="s">
        <v>139</v>
      </c>
      <c r="V114" s="75"/>
      <c r="W114" s="2" t="e">
        <f t="shared" si="32"/>
        <v>#REF!</v>
      </c>
    </row>
    <row r="115" ht="31.5" customHeight="1" spans="1:23" x14ac:dyDescent="0.25">
      <c r="A115" s="47">
        <v>4</v>
      </c>
      <c r="B115" s="56"/>
      <c r="C115" s="57" t="e">
        <f>VLOOKUP($B115,[1]Sheet1!$F$5:$G$50270,2,0)</f>
        <v>#N/A</v>
      </c>
      <c r="D115" s="47" t="e">
        <f>VLOOKUP($B115,'[2]Số sổ BHXH T05'!$B$11:$K$11515,4,0)</f>
        <v>#N/A</v>
      </c>
      <c r="E115" s="58"/>
      <c r="F115" s="58"/>
      <c r="G115" s="59" t="e">
        <f>SUMPRODUCT(--(WEEKDAY(ROW(INDIRECT($E115:$E153&amp;":"&amp;$F115:$F146)),1)=1))</f>
        <v>#REF!</v>
      </c>
      <c r="H115" s="59" t="e">
        <f>SUMPRODUCT(--(WEEKDAY(ROW(INDIRECT($E115:$E153&amp;":"&amp;$F115:$F146)),1)=2))</f>
        <v>#REF!</v>
      </c>
      <c r="I115" s="59" t="e">
        <f>SUMPRODUCT(--(WEEKDAY(ROW(INDIRECT($E115:$E153&amp;":"&amp;$F115:$F146)),1)=3))</f>
        <v>#REF!</v>
      </c>
      <c r="J115" s="59" t="e">
        <f>SUMPRODUCT(--(WEEKDAY(ROW(INDIRECT($E115:$E153&amp;":"&amp;$F115:$F146)),1)=4))</f>
        <v>#REF!</v>
      </c>
      <c r="K115" s="59" t="e">
        <f>SUMPRODUCT(--(WEEKDAY(ROW(INDIRECT($E115:$E153&amp;":"&amp;$F115:$F146)),1)=5))</f>
        <v>#REF!</v>
      </c>
      <c r="L115" s="59" t="e">
        <f>SUMPRODUCT(--(WEEKDAY(ROW(INDIRECT($E115:$E153&amp;":"&amp;$F115:$F146)),1)=6))</f>
        <v>#REF!</v>
      </c>
      <c r="M115" s="59" t="e">
        <f>SUMPRODUCT(--(WEEKDAY(ROW(INDIRECT($E115:$E153&amp;":"&amp;$F115:$F146)),1)=7))</f>
        <v>#REF!</v>
      </c>
      <c r="N115" s="59" t="e">
        <f t="shared" si="30"/>
        <v>#REF!</v>
      </c>
      <c r="O115" s="47">
        <f t="shared" si="31"/>
        <v>1</v>
      </c>
      <c r="P115" s="47"/>
      <c r="Q115" s="60" t="e">
        <f>VLOOKUP($B115,'[2]T01.2025'!C125:F7478,4,0)</f>
        <v>#N/A</v>
      </c>
      <c r="R115" s="58"/>
      <c r="S115" s="68"/>
      <c r="T115" s="1" t="s">
        <v>138</v>
      </c>
      <c r="U115" s="6" t="s">
        <v>139</v>
      </c>
      <c r="V115" s="75"/>
      <c r="W115" s="2" t="e">
        <f t="shared" si="32"/>
        <v>#REF!</v>
      </c>
    </row>
    <row r="116" ht="31.5" customHeight="1" spans="1:23" x14ac:dyDescent="0.25">
      <c r="A116" s="47">
        <v>5</v>
      </c>
      <c r="B116" s="56"/>
      <c r="C116" s="57" t="e">
        <f>VLOOKUP($B116,[1]Sheet1!$F$5:$G$50270,2,0)</f>
        <v>#N/A</v>
      </c>
      <c r="D116" s="47" t="e">
        <f>VLOOKUP($B116,'[2]Số sổ BHXH T05'!$B$11:$K$11515,4,0)</f>
        <v>#N/A</v>
      </c>
      <c r="E116" s="58"/>
      <c r="F116" s="58"/>
      <c r="G116" s="59" t="e">
        <f>SUMPRODUCT(--(WEEKDAY(ROW(INDIRECT($E116:$E154&amp;":"&amp;$F116:$F147)),1)=1))</f>
        <v>#REF!</v>
      </c>
      <c r="H116" s="59" t="e">
        <f>SUMPRODUCT(--(WEEKDAY(ROW(INDIRECT($E116:$E154&amp;":"&amp;$F116:$F147)),1)=2))</f>
        <v>#REF!</v>
      </c>
      <c r="I116" s="59" t="e">
        <f>SUMPRODUCT(--(WEEKDAY(ROW(INDIRECT($E116:$E154&amp;":"&amp;$F116:$F147)),1)=3))</f>
        <v>#REF!</v>
      </c>
      <c r="J116" s="59" t="e">
        <f>SUMPRODUCT(--(WEEKDAY(ROW(INDIRECT($E116:$E154&amp;":"&amp;$F116:$F147)),1)=4))</f>
        <v>#REF!</v>
      </c>
      <c r="K116" s="59" t="e">
        <f>SUMPRODUCT(--(WEEKDAY(ROW(INDIRECT($E116:$E154&amp;":"&amp;$F116:$F147)),1)=5))</f>
        <v>#REF!</v>
      </c>
      <c r="L116" s="59" t="e">
        <f>SUMPRODUCT(--(WEEKDAY(ROW(INDIRECT($E116:$E154&amp;":"&amp;$F116:$F147)),1)=6))</f>
        <v>#REF!</v>
      </c>
      <c r="M116" s="59" t="e">
        <f>SUMPRODUCT(--(WEEKDAY(ROW(INDIRECT($E116:$E154&amp;":"&amp;$F116:$F147)),1)=7))</f>
        <v>#REF!</v>
      </c>
      <c r="N116" s="59" t="e">
        <f t="shared" si="30"/>
        <v>#REF!</v>
      </c>
      <c r="O116" s="47">
        <f t="shared" si="31"/>
        <v>1</v>
      </c>
      <c r="P116" s="47"/>
      <c r="Q116" s="60" t="e">
        <f>VLOOKUP($B116,'[2]T01.2025'!C126:F7479,4,0)</f>
        <v>#N/A</v>
      </c>
      <c r="R116" s="58"/>
      <c r="S116" s="68"/>
      <c r="T116" s="1" t="s">
        <v>138</v>
      </c>
      <c r="U116" s="6" t="s">
        <v>139</v>
      </c>
      <c r="V116" s="75"/>
      <c r="W116" s="2" t="e">
        <f t="shared" si="32"/>
        <v>#REF!</v>
      </c>
    </row>
    <row r="117" ht="31.5" customHeight="1" spans="1:23" x14ac:dyDescent="0.25">
      <c r="A117" s="48" t="s">
        <v>81</v>
      </c>
      <c r="B117" s="48"/>
      <c r="C117" s="48"/>
      <c r="D117" s="48"/>
      <c r="E117" s="48"/>
      <c r="F117" s="48"/>
      <c r="G117" s="55"/>
      <c r="H117" s="55"/>
      <c r="I117" s="55"/>
      <c r="J117" s="55"/>
      <c r="K117" s="55"/>
      <c r="L117" s="55"/>
      <c r="M117" s="55"/>
      <c r="N117" s="55"/>
      <c r="O117" s="48">
        <f>SUM(O112:O116)</f>
        <v>13</v>
      </c>
      <c r="P117" s="48"/>
      <c r="Q117" s="60"/>
      <c r="R117" s="58"/>
      <c r="S117" s="107"/>
      <c r="T117" s="1" t="s">
        <v>138</v>
      </c>
      <c r="U117" s="6" t="s">
        <v>139</v>
      </c>
      <c r="V117" s="75"/>
      <c r="W117" s="88"/>
    </row>
    <row r="118" ht="30.75" customHeight="1" spans="1:21" x14ac:dyDescent="0.25">
      <c r="A118" s="48" t="s">
        <v>86</v>
      </c>
      <c r="B118" s="49"/>
      <c r="C118" s="112" t="s">
        <v>141</v>
      </c>
      <c r="D118" s="113"/>
      <c r="E118" s="113"/>
      <c r="F118" s="114"/>
      <c r="G118" s="55" t="s">
        <v>32</v>
      </c>
      <c r="H118" s="55" t="s">
        <v>33</v>
      </c>
      <c r="I118" s="55" t="s">
        <v>34</v>
      </c>
      <c r="J118" s="55" t="s">
        <v>35</v>
      </c>
      <c r="K118" s="55" t="s">
        <v>36</v>
      </c>
      <c r="L118" s="55" t="s">
        <v>37</v>
      </c>
      <c r="M118" s="55" t="s">
        <v>38</v>
      </c>
      <c r="N118" s="55" t="s">
        <v>39</v>
      </c>
      <c r="O118" s="1"/>
      <c r="P118" s="1"/>
      <c r="Q118" s="1"/>
      <c r="R118" s="1"/>
      <c r="S118" s="1"/>
      <c r="T118" s="1"/>
      <c r="U118" s="1"/>
    </row>
    <row r="119" ht="31.5" customHeight="1" spans="1:23" x14ac:dyDescent="0.25">
      <c r="A119" s="47">
        <v>1</v>
      </c>
      <c r="B119" s="56"/>
      <c r="C119" s="57" t="e">
        <f>VLOOKUP($B119,[1]Sheet1!$F$5:$G$50270,2,0)</f>
        <v>#N/A</v>
      </c>
      <c r="D119" s="47" t="e">
        <f>VLOOKUP($B119,'[2]Số sổ BHXH T05'!$B$11:$K$11515,4,0)</f>
        <v>#N/A</v>
      </c>
      <c r="E119" s="58"/>
      <c r="F119" s="58"/>
      <c r="G119" s="59" t="e">
        <f>SUMPRODUCT(--(WEEKDAY(ROW(INDIRECT($E119:$E158&amp;":"&amp;$F119:$F151)),1)=1))</f>
        <v>#REF!</v>
      </c>
      <c r="H119" s="59" t="e">
        <f>SUMPRODUCT(--(WEEKDAY(ROW(INDIRECT($E119:$E158&amp;":"&amp;$F119:$F151)),1)=2))</f>
        <v>#REF!</v>
      </c>
      <c r="I119" s="59" t="e">
        <f>SUMPRODUCT(--(WEEKDAY(ROW(INDIRECT($E119:$E158&amp;":"&amp;$F119:$F151)),1)=3))</f>
        <v>#REF!</v>
      </c>
      <c r="J119" s="59" t="e">
        <f>SUMPRODUCT(--(WEEKDAY(ROW(INDIRECT($E119:$E158&amp;":"&amp;$F119:$F151)),1)=4))</f>
        <v>#REF!</v>
      </c>
      <c r="K119" s="59" t="e">
        <f>SUMPRODUCT(--(WEEKDAY(ROW(INDIRECT($E119:$E158&amp;":"&amp;$F119:$F151)),1)=5))</f>
        <v>#REF!</v>
      </c>
      <c r="L119" s="59" t="e">
        <f>SUMPRODUCT(--(WEEKDAY(ROW(INDIRECT($E119:$E158&amp;":"&amp;$F119:$F151)),1)=6))</f>
        <v>#REF!</v>
      </c>
      <c r="M119" s="59" t="e">
        <f>SUMPRODUCT(--(WEEKDAY(ROW(INDIRECT($E119:$E158&amp;":"&amp;$F119:$F151)),1)=7))</f>
        <v>#REF!</v>
      </c>
      <c r="N119" s="59" t="e">
        <f>SUM(H119:M119)</f>
        <v>#REF!</v>
      </c>
      <c r="O119" s="47">
        <f>F119-E119+1</f>
        <v>1</v>
      </c>
      <c r="P119" s="47"/>
      <c r="Q119" s="60" t="e">
        <f>VLOOKUP($B119,'[2]T01.2025'!C130:F7483,4,0)</f>
        <v>#N/A</v>
      </c>
      <c r="R119" s="58"/>
      <c r="S119" s="68"/>
      <c r="T119" s="1" t="s">
        <v>138</v>
      </c>
      <c r="U119" s="6" t="s">
        <v>139</v>
      </c>
      <c r="V119" s="75"/>
      <c r="W119" s="2" t="e">
        <f t="shared" ref="W119" si="33">N119-O119</f>
        <v>#REF!</v>
      </c>
    </row>
    <row r="120" ht="31.5" customHeight="1" spans="1:23" x14ac:dyDescent="0.25">
      <c r="A120" s="48" t="s">
        <v>81</v>
      </c>
      <c r="B120" s="48"/>
      <c r="C120" s="48"/>
      <c r="D120" s="48"/>
      <c r="E120" s="48"/>
      <c r="F120" s="48"/>
      <c r="G120" s="55"/>
      <c r="H120" s="55"/>
      <c r="I120" s="55"/>
      <c r="J120" s="55"/>
      <c r="K120" s="55"/>
      <c r="L120" s="55"/>
      <c r="M120" s="55"/>
      <c r="N120" s="55"/>
      <c r="O120" s="47">
        <f>SUM(O119:O119)</f>
        <v>1</v>
      </c>
      <c r="P120" s="47"/>
      <c r="Q120" s="60"/>
      <c r="R120" s="58"/>
      <c r="S120" s="107"/>
      <c r="T120" s="1" t="s">
        <v>138</v>
      </c>
      <c r="U120" s="6" t="s">
        <v>139</v>
      </c>
      <c r="V120" s="75"/>
      <c r="W120" s="88"/>
    </row>
    <row r="121" ht="15.75" customHeight="1" spans="1:21" x14ac:dyDescent="0.25">
      <c r="A121" s="7"/>
      <c r="B121" s="8" t="s">
        <v>142</v>
      </c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117"/>
      <c r="T121" s="118"/>
      <c r="U121" s="118"/>
    </row>
    <row r="122" spans="1:21" x14ac:dyDescent="0.25">
      <c r="A122" s="7"/>
      <c r="B122" s="8"/>
      <c r="C122" s="1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117"/>
      <c r="T122" s="118"/>
      <c r="U122" s="118"/>
    </row>
    <row r="123" spans="1:21" x14ac:dyDescent="0.25">
      <c r="A123" s="14"/>
      <c r="C123" s="1"/>
      <c r="D123" s="14"/>
      <c r="E123" s="119"/>
      <c r="F123" s="119"/>
      <c r="G123" s="119"/>
      <c r="H123" s="119"/>
      <c r="I123" s="119"/>
      <c r="J123" s="119"/>
      <c r="K123" s="119"/>
      <c r="L123" s="119"/>
      <c r="M123" s="119"/>
      <c r="N123" s="119"/>
      <c r="O123" s="120" t="s">
        <v>143</v>
      </c>
      <c r="P123" s="120"/>
      <c r="Q123" s="120"/>
      <c r="R123" s="120"/>
      <c r="S123" s="120"/>
      <c r="T123" s="121"/>
      <c r="U123" s="122"/>
    </row>
    <row r="124" spans="1:21" x14ac:dyDescent="0.25">
      <c r="A124" s="14"/>
      <c r="C124" s="1"/>
      <c r="D124" s="14"/>
      <c r="E124" s="119"/>
      <c r="F124" s="119"/>
      <c r="G124" s="119"/>
      <c r="H124" s="119"/>
      <c r="I124" s="119"/>
      <c r="J124" s="119"/>
      <c r="K124" s="119"/>
      <c r="L124" s="119"/>
      <c r="M124" s="119"/>
      <c r="N124" s="119"/>
      <c r="O124" s="14" t="s">
        <v>144</v>
      </c>
      <c r="P124" s="14"/>
      <c r="Q124" s="14"/>
      <c r="R124" s="14"/>
      <c r="S124" s="14"/>
      <c r="T124" s="38"/>
      <c r="U124" s="16"/>
    </row>
    <row r="125" spans="15:21" x14ac:dyDescent="0.25">
      <c r="O125" s="120" t="s">
        <v>145</v>
      </c>
      <c r="P125" s="120"/>
      <c r="Q125" s="120"/>
      <c r="R125" s="120"/>
      <c r="S125" s="120"/>
      <c r="T125" s="121"/>
      <c r="U125" s="122"/>
    </row>
    <row r="126" spans="6:21" x14ac:dyDescent="0.25">
      <c r="F126" s="4"/>
      <c r="G126" s="4"/>
      <c r="H126" s="4"/>
      <c r="I126" s="4"/>
      <c r="J126" s="4"/>
      <c r="K126" s="4"/>
      <c r="L126" s="4"/>
      <c r="M126" s="4"/>
      <c r="N126" s="4"/>
      <c r="O126" s="120"/>
      <c r="P126" s="120"/>
      <c r="Q126" s="123"/>
      <c r="R126" s="120"/>
      <c r="S126" s="120"/>
      <c r="T126" s="121"/>
      <c r="U126" s="122"/>
    </row>
    <row r="131" ht="24.75" customHeight="1" spans="15:21" x14ac:dyDescent="0.25">
      <c r="O131" s="124" t="s">
        <v>146</v>
      </c>
      <c r="P131" s="124"/>
      <c r="Q131" s="124"/>
      <c r="R131" s="124"/>
      <c r="S131" s="124"/>
      <c r="T131" s="125"/>
      <c r="U131" s="6"/>
    </row>
    <row r="132" spans="21:21" x14ac:dyDescent="0.25">
      <c r="U132" s="6"/>
    </row>
    <row r="133" spans="21:21" x14ac:dyDescent="0.25">
      <c r="U133" s="6"/>
    </row>
    <row r="134" spans="21:21" x14ac:dyDescent="0.25">
      <c r="U134" s="6"/>
    </row>
    <row r="135" spans="1:34" s="88" customFormat="1" x14ac:dyDescent="0.25">
      <c r="A135" s="1"/>
      <c r="B135" s="2"/>
      <c r="C135" s="3"/>
      <c r="D135" s="4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4"/>
      <c r="P135" s="4"/>
      <c r="Q135" s="6"/>
      <c r="R135" s="7"/>
      <c r="S135" s="8"/>
      <c r="T135" s="9"/>
      <c r="U135" s="6"/>
      <c r="V135" s="2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</row>
  </sheetData>
  <mergeCells count="40">
    <mergeCell ref="A5:S5"/>
    <mergeCell ref="A6:S6"/>
    <mergeCell ref="A7:S7"/>
    <mergeCell ref="A8:S8"/>
    <mergeCell ref="E12:O12"/>
    <mergeCell ref="A12:A14"/>
    <mergeCell ref="B12:B14"/>
    <mergeCell ref="C12:C14"/>
    <mergeCell ref="D12:D14"/>
    <mergeCell ref="P12:P14"/>
    <mergeCell ref="Q12:Q14"/>
    <mergeCell ref="R12:R13"/>
    <mergeCell ref="S12:S14"/>
    <mergeCell ref="E13:E14"/>
    <mergeCell ref="F13:F14"/>
    <mergeCell ref="O13:O14"/>
    <mergeCell ref="A50:F50"/>
    <mergeCell ref="A54:F54"/>
    <mergeCell ref="A68:F68"/>
    <mergeCell ref="A72:F72"/>
    <mergeCell ref="A80:F80"/>
    <mergeCell ref="C81:F81"/>
    <mergeCell ref="C82:F82"/>
    <mergeCell ref="A84:F84"/>
    <mergeCell ref="A94:F94"/>
    <mergeCell ref="C95:Q95"/>
    <mergeCell ref="C96:F96"/>
    <mergeCell ref="A99:F99"/>
    <mergeCell ref="C100:F100"/>
    <mergeCell ref="A104:F104"/>
    <mergeCell ref="C105:Q105"/>
    <mergeCell ref="A108:F108"/>
    <mergeCell ref="C109:E109"/>
    <mergeCell ref="A117:F117"/>
    <mergeCell ref="A120:F120"/>
    <mergeCell ref="B121:R121"/>
    <mergeCell ref="O123:S123"/>
    <mergeCell ref="O124:S124"/>
    <mergeCell ref="O125:S125"/>
    <mergeCell ref="O131:S131"/>
  </mergeCells>
  <conditionalFormatting sqref="A51"/>
  <conditionalFormatting sqref="B105:B108"/>
  <conditionalFormatting sqref="B109:B1048576 B1:B104"/>
  <conditionalFormatting sqref="C81:C82"/>
  <conditionalFormatting sqref="C96"/>
  <conditionalFormatting sqref="C100"/>
  <conditionalFormatting sqref="D95"/>
  <pageMargins left="0.7" right="0.7" top="0.75" bottom="0.75" header="0.3" footer="0.3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2025-11-24T06:45:12Z</dcterms:created>
  <dcterms:modified xsi:type="dcterms:W3CDTF">2025-11-24T06:54:17Z</dcterms:modified>
</cp:coreProperties>
</file>