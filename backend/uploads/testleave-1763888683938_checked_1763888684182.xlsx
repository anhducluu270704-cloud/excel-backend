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0" yWindow="1560" windowWidth="27240" windowHeight="16440"/>
  </bookViews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F23" authorId="0">
      <text>
        <r>
          <rPr>
            <b/>
            <color rgb="FF000000"/>
            <family val="2"/>
            <sz val="9"/>
            <rFont val="Tahoma"/>
          </rPr>
          <t>Hang Nguyen Thi Thu (HRD/CMVN):</t>
        </r>
        <r>
          <rPr>
            <color rgb="FF000000"/>
            <family val="2"/>
            <sz val="9"/>
            <rFont val="Tahoma"/>
          </rPr>
          <t xml:space="preserve">
</t>
        </r>
        <r>
          <rPr>
            <color rgb="FF000000"/>
            <family val="2"/>
            <sz val="9"/>
            <rFont val="Tahoma"/>
          </rPr>
          <t>đi làm từ ngày 03/11/2025</t>
        </r>
      </text>
    </comment>
  </commentList>
</comments>
</file>

<file path=xl/sharedStrings.xml><?xml version="1.0" encoding="utf-8"?>
<sst xmlns="http://schemas.openxmlformats.org/spreadsheetml/2006/main" count="66" uniqueCount="47">
  <si>
    <t>Tên cơ quan đơn vị: Công ty TNHH Crystal Martin (Việt Nam)</t>
  </si>
  <si>
    <t>Mã đơn vị: YN0050Z</t>
  </si>
  <si>
    <t>Số Điện thoại: 0204 381 81 88</t>
  </si>
  <si>
    <t>Số hồ sơ:</t>
  </si>
  <si>
    <t xml:space="preserve">DANH SÁCH ĐỀ NGHỊ GIẢI QUYẾT HƯỞNG CHẾ ĐỘ, ỐM ĐAU, THAI SẢN, </t>
  </si>
  <si>
    <t>DƯỠNG SỨC PHỤC HỒI SỨC KHỎE</t>
  </si>
  <si>
    <t>Đợt III tháng 10 năm 2025</t>
  </si>
  <si>
    <t>Số tài khoản: 0351000777749          Mở tại: Ngân hàng TMCP Ngoại thương Việt Nam       Chi nhánh: Bắc Ninh</t>
  </si>
  <si>
    <t>PHẦN 1: DANH SÁCH ĐỀ NGHỊ HƯỞNG CHẾ ĐỘ MỚI PHÁT SINH</t>
  </si>
  <si>
    <t>STT</t>
  </si>
  <si>
    <t>MNV</t>
  </si>
  <si>
    <t>Họ và tên</t>
  </si>
  <si>
    <t>Mã số BHXH</t>
  </si>
  <si>
    <t>Từ ngày</t>
  </si>
  <si>
    <t>Đến ngày</t>
  </si>
  <si>
    <t>Tổng số</t>
  </si>
  <si>
    <t>Mã hồ sơ</t>
  </si>
  <si>
    <t>Thông tin về tài khoản nhận trợ cấp</t>
  </si>
  <si>
    <t xml:space="preserve">Chỉ tiêu xác định điều kiện, mức hưởng  </t>
  </si>
  <si>
    <t>Ghi chú</t>
  </si>
  <si>
    <t>241095</t>
  </si>
  <si>
    <t>Không được duyệt trong đợt 02 tháng 03 năm 2024 của cơ quan BHXH</t>
  </si>
  <si>
    <t>Nghỉ ốm</t>
  </si>
  <si>
    <t>GCN2</t>
  </si>
  <si>
    <t>24008979</t>
  </si>
  <si>
    <t>242265</t>
  </si>
  <si>
    <t>240092519206</t>
  </si>
  <si>
    <t>252234</t>
  </si>
  <si>
    <t>252302</t>
  </si>
  <si>
    <t>242972503143</t>
  </si>
  <si>
    <t>252303</t>
  </si>
  <si>
    <t>270090002210-2025</t>
  </si>
  <si>
    <t>220898</t>
  </si>
  <si>
    <t>240092519051</t>
  </si>
  <si>
    <t>243982</t>
  </si>
  <si>
    <t>8295</t>
  </si>
  <si>
    <t>250277</t>
  </si>
  <si>
    <t>0000001149</t>
  </si>
  <si>
    <t>252712</t>
  </si>
  <si>
    <t>3421741603</t>
  </si>
  <si>
    <t>24275/25/002800</t>
  </si>
  <si>
    <t>240581</t>
  </si>
  <si>
    <t>240092518941</t>
  </si>
  <si>
    <t>211654</t>
  </si>
  <si>
    <t xml:space="preserve">12/06/2024
TE1242422736376; Có chấm công trong ngày nghỉ: 1/11/25 (In/Out: 07:45-17:25)</t>
  </si>
  <si>
    <t>Con ốm</t>
  </si>
  <si>
    <t>Giấy ra viện, GKS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</si>
</sst>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family val="1"/>
      <sz val="12"/>
      <name val="Times New Roman"/>
    </font>
    <font>
      <b/>
      <family val="1"/>
      <sz val="12"/>
      <name val="Times New Roman"/>
    </font>
    <font>
      <family val="2"/>
      <scheme val="minor"/>
      <sz val="11"/>
      <name val="Calibri"/>
    </font>
    <font>
      <b/>
      <family val="1"/>
      <sz val="16"/>
      <name val="Times New Roman"/>
    </font>
    <font>
      <b/>
      <color theme="1"/>
      <family val="2"/>
      <scheme val="minor"/>
      <sz val="11"/>
      <name val="Calibri"/>
    </font>
    <font>
      <color rgb="FFFF0000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/>
      <top style="thin">
        <color indexed="64"/>
      </top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top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shrinkToFit="1"/>
    </xf>
    <xf numFmtId="14" fontId="2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 shrinkToFit="1"/>
    </xf>
    <xf numFmtId="14" fontId="1" fillId="0" borderId="3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14" fontId="1" fillId="0" borderId="3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workbookViewId="0" zoomScale="97" zoomScaleNormal="100">
      <selection activeCell="K16" sqref="K16"/>
    </sheetView>
  </sheetViews>
  <sheetFormatPr defaultRowHeight="16" outlineLevelRow="0" outlineLevelCol="0" x14ac:dyDescent="0.2" customHeight="1"/>
  <cols>
    <col min="1" max="1" width="11" customWidth="1"/>
    <col min="3" max="3" width="24.1640625" customWidth="1"/>
    <col min="5" max="15" width="11" customWidth="1"/>
    <col min="17" max="17" width="11.5" customWidth="1"/>
  </cols>
  <sheetData>
    <row r="1" ht="16.5" customHeight="1" spans="1:22" s="1" customFormat="1" x14ac:dyDescent="0.25">
      <c r="A1" s="2" t="s">
        <v>0</v>
      </c>
      <c r="B1" s="3"/>
      <c r="C1" s="4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6"/>
      <c r="R1" s="5"/>
      <c r="S1" s="7"/>
      <c r="T1" s="3"/>
      <c r="U1" s="8"/>
      <c r="V1" s="9"/>
    </row>
    <row r="2" ht="15.75" customHeight="1" spans="1:22" s="1" customFormat="1" x14ac:dyDescent="0.25">
      <c r="A2" s="10" t="s">
        <v>1</v>
      </c>
      <c r="B2" s="11"/>
      <c r="C2" s="12"/>
      <c r="D2" s="13"/>
      <c r="E2" s="12"/>
      <c r="F2" s="7"/>
      <c r="G2" s="7"/>
      <c r="H2" s="7"/>
      <c r="I2" s="7"/>
      <c r="J2" s="7"/>
      <c r="K2" s="7"/>
      <c r="L2" s="7"/>
      <c r="M2" s="7"/>
      <c r="N2" s="7"/>
      <c r="O2" s="5"/>
      <c r="P2" s="5"/>
      <c r="Q2" s="6"/>
      <c r="R2" s="5"/>
      <c r="S2" s="4"/>
      <c r="T2" s="3"/>
      <c r="U2" s="8"/>
      <c r="V2" s="9"/>
    </row>
    <row r="3" ht="15.75" customHeight="1" spans="1:22" s="1" customFormat="1" x14ac:dyDescent="0.25">
      <c r="A3" s="10" t="s">
        <v>2</v>
      </c>
      <c r="B3" s="11"/>
      <c r="C3" s="12"/>
      <c r="D3" s="13"/>
      <c r="E3" s="12"/>
      <c r="F3" s="7"/>
      <c r="G3" s="7"/>
      <c r="H3" s="7"/>
      <c r="I3" s="7"/>
      <c r="J3" s="7"/>
      <c r="K3" s="7"/>
      <c r="L3" s="7"/>
      <c r="M3" s="7"/>
      <c r="N3" s="7"/>
      <c r="O3" s="5"/>
      <c r="P3" s="5"/>
      <c r="Q3" s="6"/>
      <c r="R3" s="5"/>
      <c r="S3" s="4"/>
      <c r="T3" s="3"/>
      <c r="U3" s="8"/>
      <c r="V3" s="9"/>
    </row>
    <row r="4" ht="15.75" customHeight="1" spans="1:22" s="1" customFormat="1" x14ac:dyDescent="0.25">
      <c r="A4" s="14"/>
      <c r="B4" s="15"/>
      <c r="C4" s="16"/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7"/>
      <c r="P4" s="17"/>
      <c r="Q4" s="19"/>
      <c r="R4" s="20"/>
      <c r="S4" s="4" t="s">
        <v>3</v>
      </c>
      <c r="T4" s="21"/>
      <c r="U4" s="22"/>
      <c r="V4" s="9"/>
    </row>
    <row r="5" ht="28.5" customHeight="1" spans="1:22" s="1" customFormat="1" x14ac:dyDescent="0.25">
      <c r="A5" s="23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9"/>
    </row>
    <row r="6" ht="20.25" customHeight="1" spans="1:22" s="1" customFormat="1" x14ac:dyDescent="0.25">
      <c r="A6" s="23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5"/>
      <c r="U6" s="24"/>
      <c r="V6" s="9"/>
    </row>
    <row r="7" ht="18" customHeight="1" spans="1:22" s="1" customFormat="1" x14ac:dyDescent="0.25">
      <c r="A7" s="14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5"/>
      <c r="U7" s="26"/>
      <c r="V7" s="9"/>
    </row>
    <row r="8" ht="19.5" customHeight="1" spans="1:22" s="1" customFormat="1" x14ac:dyDescent="0.25">
      <c r="A8" s="14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27"/>
      <c r="U8" s="22"/>
      <c r="V8" s="9"/>
    </row>
    <row r="9" ht="15.75" customHeight="1" spans="2:22" s="1" customFormat="1" x14ac:dyDescent="0.25">
      <c r="B9" s="9"/>
      <c r="C9" s="16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7"/>
      <c r="P9" s="17"/>
      <c r="Q9" s="19"/>
      <c r="R9" s="20"/>
      <c r="S9" s="28"/>
      <c r="T9" s="21"/>
      <c r="U9" s="22"/>
      <c r="V9" s="9"/>
    </row>
    <row r="10" ht="19.5" customHeight="1" spans="1:22" s="1" customFormat="1" x14ac:dyDescent="0.25">
      <c r="A10" s="29" t="s">
        <v>8</v>
      </c>
      <c r="B10" s="30"/>
      <c r="C10" s="16"/>
      <c r="D10" s="17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7"/>
      <c r="P10" s="17"/>
      <c r="Q10" s="19"/>
      <c r="R10" s="20"/>
      <c r="S10" s="28"/>
      <c r="T10" s="31"/>
      <c r="U10" s="22"/>
      <c r="V10" s="9"/>
    </row>
    <row r="11" ht="15.75" customHeight="1" spans="2:22" s="1" customFormat="1" x14ac:dyDescent="0.25">
      <c r="B11" s="9"/>
      <c r="C11" s="16"/>
      <c r="D11" s="1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7"/>
      <c r="P11" s="17"/>
      <c r="Q11" s="19"/>
      <c r="R11" s="20"/>
      <c r="T11" s="21"/>
      <c r="U11" s="22"/>
      <c r="V11" s="9"/>
    </row>
    <row r="12" ht="21" customHeight="1" spans="1:22" s="1" customFormat="1" x14ac:dyDescent="0.25">
      <c r="A12" s="32" t="s">
        <v>9</v>
      </c>
      <c r="B12" s="33" t="s">
        <v>10</v>
      </c>
      <c r="C12" s="34" t="s">
        <v>11</v>
      </c>
      <c r="D12" s="32" t="s">
        <v>12</v>
      </c>
      <c r="E12" s="35" t="s">
        <v>13</v>
      </c>
      <c r="F12" s="35" t="s">
        <v>14</v>
      </c>
      <c r="G12" s="36"/>
      <c r="H12" s="36"/>
      <c r="I12" s="36"/>
      <c r="J12" s="36"/>
      <c r="K12" s="36"/>
      <c r="L12" s="36"/>
      <c r="M12" s="36"/>
      <c r="N12" s="36"/>
      <c r="O12" s="32" t="s">
        <v>15</v>
      </c>
      <c r="P12" s="32" t="s">
        <v>16</v>
      </c>
      <c r="Q12" s="32" t="s">
        <v>17</v>
      </c>
      <c r="R12" s="32" t="s">
        <v>18</v>
      </c>
      <c r="S12" s="32" t="s">
        <v>19</v>
      </c>
      <c r="T12" s="37"/>
      <c r="U12" s="8"/>
      <c r="V12" s="9"/>
    </row>
    <row r="13" ht="87.75" customHeight="1" spans="1:26" s="1" customFormat="1" x14ac:dyDescent="0.25">
      <c r="A13" s="38">
        <v>1</v>
      </c>
      <c r="B13" s="39" t="s">
        <v>20</v>
      </c>
      <c r="C13" s="40" t="str">
        <f>VLOOKUP($B13,[1]Sheet1!$F$5:$G$69270,2,0)</f>
        <v>HOÀNG VĂN SƠN</v>
      </c>
      <c r="D13" s="38" t="str">
        <f>VLOOKUP($B13,'[2]Số sổ BHXH T05'!$B$11:$K$11515,4,0)</f>
        <v>2414002248</v>
      </c>
      <c r="E13" s="41">
        <v>45972</v>
      </c>
      <c r="F13" s="41">
        <v>45972</v>
      </c>
      <c r="G13" s="42">
        <f t="shared" ref="G13:G16" si="0">SUMPRODUCT(--(WEEKDAY(ROW(INDIRECT($E13:$E31&amp;":"&amp;$F13:$F28)),1)=1))</f>
        <v>0</v>
      </c>
      <c r="H13" s="42">
        <f t="shared" ref="H13:H16" si="1">SUMPRODUCT(--(WEEKDAY(ROW(INDIRECT($E13:$E31&amp;":"&amp;$F13:$F28)),1)=2))</f>
        <v>0</v>
      </c>
      <c r="I13" s="42">
        <f t="shared" ref="I13:I16" si="2">SUMPRODUCT(--(WEEKDAY(ROW(INDIRECT($E13:$E31&amp;":"&amp;$F13:$F28)),1)=3))</f>
        <v>1</v>
      </c>
      <c r="J13" s="42">
        <f t="shared" ref="J13:J16" si="3">SUMPRODUCT(--(WEEKDAY(ROW(INDIRECT($E13:$E31&amp;":"&amp;$F13:$F28)),1)=4))</f>
        <v>0</v>
      </c>
      <c r="K13" s="42">
        <f t="shared" ref="K13:K16" si="4">SUMPRODUCT(--(WEEKDAY(ROW(INDIRECT($E13:$E31&amp;":"&amp;$F13:$F28)),1)=5))</f>
        <v>0</v>
      </c>
      <c r="L13" s="42">
        <f t="shared" ref="L13:L16" si="5">SUMPRODUCT(--(WEEKDAY(ROW(INDIRECT($E13:$E31&amp;":"&amp;$F13:$F28)),1)=6))</f>
        <v>0</v>
      </c>
      <c r="M13" s="42">
        <f t="shared" ref="M13:M16" si="6">SUMPRODUCT(--(WEEKDAY(ROW(INDIRECT($E13:$E31&amp;":"&amp;$F13:$F28)),1)=7))</f>
        <v>0</v>
      </c>
      <c r="N13" s="42">
        <f t="shared" ref="N13:N23" si="7">SUM(H13:M13)</f>
        <v>1</v>
      </c>
      <c r="O13" s="38">
        <f>F13-E13+1</f>
        <v>1</v>
      </c>
      <c r="P13" s="38"/>
      <c r="Q13" s="43" t="str">
        <f>VLOOKUP($B13,'[2]T01.2025'!C3:F7356,4,0)</f>
        <v>1045677409</v>
      </c>
      <c r="R13" s="43"/>
      <c r="S13" s="44" t="s">
        <v>21</v>
      </c>
      <c r="T13" s="7" t="s">
        <v>22</v>
      </c>
      <c r="U13" s="1" t="s">
        <v>23</v>
      </c>
      <c r="V13" s="9" t="s">
        <v>24</v>
      </c>
      <c r="W13" s="9">
        <f>N13-O13</f>
        <v>0</v>
      </c>
      <c r="Z13" s="43" t="str">
        <f>VLOOKUP($B13,'[2]Số sổ BHXH T05'!$B$11:$K$11515,10,0)</f>
        <v>Công nhân vận hành máy may công nghiệp</v>
      </c>
    </row>
    <row r="14" ht="47.25" customHeight="1" spans="1:26" s="1" customFormat="1" x14ac:dyDescent="0.25">
      <c r="A14" s="38">
        <v>2</v>
      </c>
      <c r="B14" s="39" t="s">
        <v>25</v>
      </c>
      <c r="C14" s="40" t="str">
        <f>VLOOKUP($B14,[1]Sheet1!$F$5:$G$69270,2,0)</f>
        <v>LƯƠNG QUANG HƯỚNG</v>
      </c>
      <c r="D14" s="38" t="str">
        <f>VLOOKUP($B14,'[2]Số sổ BHXH T05'!$B$11:$K$11515,4,0)</f>
        <v>2020222337</v>
      </c>
      <c r="E14" s="41">
        <v>45973</v>
      </c>
      <c r="F14" s="41">
        <v>45973</v>
      </c>
      <c r="G14" s="42">
        <f t="shared" si="0"/>
        <v>0</v>
      </c>
      <c r="H14" s="42">
        <f t="shared" si="1"/>
        <v>0</v>
      </c>
      <c r="I14" s="42">
        <f t="shared" si="2"/>
        <v>0</v>
      </c>
      <c r="J14" s="42">
        <f t="shared" si="3"/>
        <v>1</v>
      </c>
      <c r="K14" s="42">
        <f t="shared" si="4"/>
        <v>0</v>
      </c>
      <c r="L14" s="42">
        <f t="shared" si="5"/>
        <v>0</v>
      </c>
      <c r="M14" s="42">
        <f t="shared" si="6"/>
        <v>0</v>
      </c>
      <c r="N14" s="42">
        <f t="shared" si="7"/>
        <v>1</v>
      </c>
      <c r="O14" s="38">
        <f t="shared" ref="O14:O23" si="8">F14-E14+1</f>
        <v>1</v>
      </c>
      <c r="P14" s="38"/>
      <c r="Q14" s="43" t="str">
        <f>VLOOKUP($B14,'[2]T01.2025'!C4:F7357,4,0)</f>
        <v>1043486389</v>
      </c>
      <c r="R14" s="43"/>
      <c r="S14" s="44"/>
      <c r="T14" s="7" t="s">
        <v>22</v>
      </c>
      <c r="U14" s="1" t="s">
        <v>23</v>
      </c>
      <c r="V14" s="9" t="s">
        <v>26</v>
      </c>
      <c r="W14" s="9">
        <f t="shared" ref="W14:W23" si="9">N14-O14</f>
        <v>0</v>
      </c>
      <c r="Z14" s="43" t="str">
        <f>VLOOKUP($B14,'[2]Số sổ BHXH T05'!$B$11:$K$11515,10,0)</f>
        <v>Công nhân vận hành máy may công nghiệp</v>
      </c>
    </row>
    <row r="15" ht="47.25" customHeight="1" spans="1:26" s="1" customFormat="1" x14ac:dyDescent="0.25">
      <c r="A15" s="38">
        <v>3</v>
      </c>
      <c r="B15" s="39" t="s">
        <v>27</v>
      </c>
      <c r="C15" s="40" t="str">
        <f>VLOOKUP($B15,[1]Sheet1!$F$5:$G$69270,2,0)</f>
        <v>NGUYỄN ĐÌNH LONG</v>
      </c>
      <c r="D15" s="38" t="str">
        <f>VLOOKUP($B15,'[2]Số sổ BHXH T05'!$B$11:$K$11515,4,0)</f>
        <v>4023165391</v>
      </c>
      <c r="E15" s="41">
        <v>45966</v>
      </c>
      <c r="F15" s="41">
        <v>45967</v>
      </c>
      <c r="G15" s="42">
        <f t="shared" si="0"/>
        <v>0</v>
      </c>
      <c r="H15" s="42">
        <f t="shared" si="1"/>
        <v>0</v>
      </c>
      <c r="I15" s="42">
        <f t="shared" si="2"/>
        <v>0</v>
      </c>
      <c r="J15" s="42">
        <f t="shared" si="3"/>
        <v>1</v>
      </c>
      <c r="K15" s="42">
        <f t="shared" si="4"/>
        <v>1</v>
      </c>
      <c r="L15" s="42">
        <f t="shared" si="5"/>
        <v>0</v>
      </c>
      <c r="M15" s="42">
        <f t="shared" si="6"/>
        <v>0</v>
      </c>
      <c r="N15" s="42">
        <f t="shared" si="7"/>
        <v>2</v>
      </c>
      <c r="O15" s="38">
        <f t="shared" si="8"/>
        <v>2</v>
      </c>
      <c r="P15" s="38"/>
      <c r="Q15" s="43" t="str">
        <f>VLOOKUP($B15,'[2]T01.2025'!C5:F7358,4,0)</f>
        <v>0411001026069</v>
      </c>
      <c r="R15" s="43"/>
      <c r="S15" s="44"/>
      <c r="T15" s="7" t="s">
        <v>22</v>
      </c>
      <c r="U15" s="1" t="s">
        <v>23</v>
      </c>
      <c r="V15" s="9" t="s">
        <v>27</v>
      </c>
      <c r="W15" s="9">
        <f t="shared" si="9"/>
        <v>0</v>
      </c>
      <c r="Z15" s="43" t="str">
        <f>VLOOKUP($B15,'[2]Số sổ BHXH T05'!$B$11:$K$11515,10,0)</f>
        <v>Công nhân vận hành máy may công nghiệp</v>
      </c>
    </row>
    <row r="16" ht="60.75" customHeight="1" spans="1:26" s="1" customFormat="1" x14ac:dyDescent="0.25">
      <c r="A16" s="38">
        <v>4</v>
      </c>
      <c r="B16" s="39" t="s">
        <v>28</v>
      </c>
      <c r="C16" s="40" t="str">
        <f>VLOOKUP($B16,[1]Sheet1!$F$5:$G$69270,2,0)</f>
        <v>HOÀNG VĂN DŨNG</v>
      </c>
      <c r="D16" s="38" t="str">
        <f>VLOOKUP($B16,'[2]Số sổ BHXH T05'!$B$11:$K$11515,4,0)</f>
        <v>2422398595</v>
      </c>
      <c r="E16" s="41">
        <v>45973</v>
      </c>
      <c r="F16" s="41">
        <v>45973</v>
      </c>
      <c r="G16" s="42">
        <f t="shared" si="0"/>
        <v>0</v>
      </c>
      <c r="H16" s="42">
        <f t="shared" si="1"/>
        <v>0</v>
      </c>
      <c r="I16" s="42">
        <f t="shared" si="2"/>
        <v>0</v>
      </c>
      <c r="J16" s="42">
        <f t="shared" si="3"/>
        <v>1</v>
      </c>
      <c r="K16" s="42">
        <f t="shared" si="4"/>
        <v>0</v>
      </c>
      <c r="L16" s="42">
        <f t="shared" si="5"/>
        <v>0</v>
      </c>
      <c r="M16" s="42">
        <f t="shared" si="6"/>
        <v>0</v>
      </c>
      <c r="N16" s="42">
        <f t="shared" si="7"/>
        <v>1</v>
      </c>
      <c r="O16" s="38">
        <f t="shared" si="8"/>
        <v>1</v>
      </c>
      <c r="P16" s="38"/>
      <c r="Q16" s="43" t="str">
        <f>VLOOKUP($B16,'[2]T01.2025'!C6:F7359,4,0)</f>
        <v>1014667396</v>
      </c>
      <c r="R16" s="43"/>
      <c r="S16" s="44"/>
      <c r="T16" s="7" t="s">
        <v>22</v>
      </c>
      <c r="U16" s="1" t="s">
        <v>23</v>
      </c>
      <c r="V16" s="9" t="s">
        <v>29</v>
      </c>
      <c r="W16" s="9">
        <f t="shared" si="9"/>
        <v>0</v>
      </c>
      <c r="Z16" s="43" t="str">
        <f>VLOOKUP($B16,'[2]Số sổ BHXH T05'!$B$11:$K$11515,10,0)</f>
        <v>Công nhân vận hành máy may công nghiệp</v>
      </c>
    </row>
    <row r="17" ht="27.75" customHeight="1" spans="1:26" s="1" customFormat="1" x14ac:dyDescent="0.25">
      <c r="A17" s="38">
        <v>5</v>
      </c>
      <c r="B17" s="39" t="s">
        <v>30</v>
      </c>
      <c r="C17" s="40" t="str">
        <f>VLOOKUP($B17,[1]Sheet1!$F$5:$G$69270,2,0)</f>
        <v>PHẠM THỊ NGA</v>
      </c>
      <c r="D17" s="38" t="str">
        <f>VLOOKUP($B17,'[2]Số sổ BHXH T05'!$B$11:$K$11515,4,0)</f>
        <v>0124062124</v>
      </c>
      <c r="E17" s="41">
        <v>45973</v>
      </c>
      <c r="F17" s="41">
        <v>45973</v>
      </c>
      <c r="G17" s="42">
        <f>SUMPRODUCT(--(WEEKDAY(ROW(INDIRECT($E17:$E40&amp;":"&amp;$F17:$F32)),1)=1))</f>
        <v>0</v>
      </c>
      <c r="H17" s="42">
        <f>SUMPRODUCT(--(WEEKDAY(ROW(INDIRECT($E17:$E40&amp;":"&amp;$F17:$F32)),1)=2))</f>
        <v>0</v>
      </c>
      <c r="I17" s="42">
        <f>SUMPRODUCT(--(WEEKDAY(ROW(INDIRECT($E17:$E40&amp;":"&amp;$F17:$F32)),1)=3))</f>
        <v>0</v>
      </c>
      <c r="J17" s="42">
        <f>SUMPRODUCT(--(WEEKDAY(ROW(INDIRECT($E17:$E40&amp;":"&amp;$F17:$F32)),1)=4))</f>
        <v>1</v>
      </c>
      <c r="K17" s="42">
        <f>SUMPRODUCT(--(WEEKDAY(ROW(INDIRECT($E17:$E40&amp;":"&amp;$F17:$F32)),1)=5))</f>
        <v>0</v>
      </c>
      <c r="L17" s="42">
        <f>SUMPRODUCT(--(WEEKDAY(ROW(INDIRECT($E17:$E40&amp;":"&amp;$F17:$F32)),1)=6))</f>
        <v>0</v>
      </c>
      <c r="M17" s="42">
        <f>SUMPRODUCT(--(WEEKDAY(ROW(INDIRECT($E17:$E40&amp;":"&amp;$F17:$F32)),1)=7))</f>
        <v>0</v>
      </c>
      <c r="N17" s="42">
        <f t="shared" si="7"/>
        <v>1</v>
      </c>
      <c r="O17" s="38">
        <f t="shared" si="8"/>
        <v>1</v>
      </c>
      <c r="P17" s="38"/>
      <c r="Q17" s="43" t="str">
        <f>VLOOKUP($B17,'[2]T01.2025'!C7:F7360,4,0)</f>
        <v>1017524666</v>
      </c>
      <c r="R17" s="43"/>
      <c r="S17" s="44"/>
      <c r="T17" s="7" t="s">
        <v>22</v>
      </c>
      <c r="U17" s="1" t="s">
        <v>23</v>
      </c>
      <c r="V17" s="9" t="s">
        <v>31</v>
      </c>
      <c r="W17" s="9">
        <f t="shared" si="9"/>
        <v>0</v>
      </c>
      <c r="Z17" s="43" t="str">
        <f>VLOOKUP($B17,'[2]Số sổ BHXH T05'!$B$11:$K$11515,10,0)</f>
        <v>Công nhân vận hành máy may công nghiệp</v>
      </c>
    </row>
    <row r="18" ht="27.75" customHeight="1" spans="1:26" s="1" customFormat="1" x14ac:dyDescent="0.25">
      <c r="A18" s="38">
        <v>6</v>
      </c>
      <c r="B18" s="39" t="s">
        <v>32</v>
      </c>
      <c r="C18" s="40" t="str">
        <f>VLOOKUP($B18,[1]Sheet1!$F$5:$G$69270,2,0)</f>
        <v>NGUYỄN THỊ THÙY</v>
      </c>
      <c r="D18" s="38" t="str">
        <f>VLOOKUP($B18,'[2]Số sổ BHXH T05'!$B$11:$K$11515,4,0)</f>
        <v>2421356613</v>
      </c>
      <c r="E18" s="41">
        <v>45972</v>
      </c>
      <c r="F18" s="41">
        <v>45973</v>
      </c>
      <c r="G18" s="42">
        <f>SUMPRODUCT(--(WEEKDAY(ROW(INDIRECT($E18:$E35&amp;":"&amp;$F18:$F33)),1)=1))</f>
        <v>0</v>
      </c>
      <c r="H18" s="42">
        <f>SUMPRODUCT(--(WEEKDAY(ROW(INDIRECT($E18:$E35&amp;":"&amp;$F18:$F33)),1)=2))</f>
        <v>0</v>
      </c>
      <c r="I18" s="42">
        <f>SUMPRODUCT(--(WEEKDAY(ROW(INDIRECT($E18:$E35&amp;":"&amp;$F18:$F33)),1)=3))</f>
        <v>1</v>
      </c>
      <c r="J18" s="42">
        <f>SUMPRODUCT(--(WEEKDAY(ROW(INDIRECT($E18:$E35&amp;":"&amp;$F18:$F33)),1)=4))</f>
        <v>1</v>
      </c>
      <c r="K18" s="42">
        <f>SUMPRODUCT(--(WEEKDAY(ROW(INDIRECT($E18:$E35&amp;":"&amp;$F18:$F33)),1)=5))</f>
        <v>0</v>
      </c>
      <c r="L18" s="42">
        <f>SUMPRODUCT(--(WEEKDAY(ROW(INDIRECT($E18:$E35&amp;":"&amp;$F18:$F33)),1)=6))</f>
        <v>0</v>
      </c>
      <c r="M18" s="42">
        <f>SUMPRODUCT(--(WEEKDAY(ROW(INDIRECT($E18:$E35&amp;":"&amp;$F18:$F33)),1)=7))</f>
        <v>0</v>
      </c>
      <c r="N18" s="42">
        <f t="shared" si="7"/>
        <v>2</v>
      </c>
      <c r="O18" s="38">
        <f t="shared" si="8"/>
        <v>2</v>
      </c>
      <c r="P18" s="38"/>
      <c r="Q18" s="43" t="str">
        <f>VLOOKUP($B18,'[2]T01.2025'!C8:F7361,4,0)</f>
        <v>0351001115252</v>
      </c>
      <c r="R18" s="43"/>
      <c r="S18" s="44"/>
      <c r="T18" s="7" t="s">
        <v>22</v>
      </c>
      <c r="U18" s="1" t="s">
        <v>23</v>
      </c>
      <c r="V18" s="9" t="s">
        <v>33</v>
      </c>
      <c r="W18" s="9">
        <f t="shared" si="9"/>
        <v>0</v>
      </c>
      <c r="Z18" s="43" t="str">
        <f>VLOOKUP($B18,'[2]Số sổ BHXH T05'!$B$11:$K$11515,10,0)</f>
        <v>Công nhân vận hành máy may công nghiệp</v>
      </c>
    </row>
    <row r="19" ht="27.75" customHeight="1" spans="1:26" s="1" customFormat="1" x14ac:dyDescent="0.25">
      <c r="A19" s="38">
        <v>7</v>
      </c>
      <c r="B19" s="39" t="s">
        <v>34</v>
      </c>
      <c r="C19" s="40" t="str">
        <f>VLOOKUP($B19,[1]Sheet1!$F$5:$G$69270,2,0)</f>
        <v>ĐỖ XUÂN BIÊN</v>
      </c>
      <c r="D19" s="38" t="str">
        <f>VLOOKUP($B19,'[2]Số sổ BHXH T05'!$B$11:$K$11515,4,0)</f>
        <v>2421468955</v>
      </c>
      <c r="E19" s="41">
        <v>45972</v>
      </c>
      <c r="F19" s="41">
        <v>45972</v>
      </c>
      <c r="G19" s="42">
        <f>SUMPRODUCT(--(WEEKDAY(ROW(INDIRECT($E19:$E36&amp;":"&amp;$F19:$F34)),1)=1))</f>
        <v>0</v>
      </c>
      <c r="H19" s="42">
        <f>SUMPRODUCT(--(WEEKDAY(ROW(INDIRECT($E19:$E36&amp;":"&amp;$F19:$F34)),1)=2))</f>
        <v>0</v>
      </c>
      <c r="I19" s="42">
        <f>SUMPRODUCT(--(WEEKDAY(ROW(INDIRECT($E19:$E36&amp;":"&amp;$F19:$F34)),1)=3))</f>
        <v>1</v>
      </c>
      <c r="J19" s="42">
        <f>SUMPRODUCT(--(WEEKDAY(ROW(INDIRECT($E19:$E36&amp;":"&amp;$F19:$F34)),1)=4))</f>
        <v>0</v>
      </c>
      <c r="K19" s="42">
        <f>SUMPRODUCT(--(WEEKDAY(ROW(INDIRECT($E19:$E36&amp;":"&amp;$F19:$F34)),1)=5))</f>
        <v>0</v>
      </c>
      <c r="L19" s="42">
        <f>SUMPRODUCT(--(WEEKDAY(ROW(INDIRECT($E19:$E36&amp;":"&amp;$F19:$F34)),1)=6))</f>
        <v>0</v>
      </c>
      <c r="M19" s="42">
        <f>SUMPRODUCT(--(WEEKDAY(ROW(INDIRECT($E19:$E36&amp;":"&amp;$F19:$F34)),1)=7))</f>
        <v>0</v>
      </c>
      <c r="N19" s="42">
        <f t="shared" si="7"/>
        <v>1</v>
      </c>
      <c r="O19" s="38">
        <f t="shared" si="8"/>
        <v>1</v>
      </c>
      <c r="P19" s="38"/>
      <c r="Q19" s="43" t="str">
        <f>VLOOKUP($B19,'[2]T01.2025'!C9:F7362,4,0)</f>
        <v>1048715376</v>
      </c>
      <c r="R19" s="43"/>
      <c r="S19" s="44"/>
      <c r="T19" s="7" t="s">
        <v>22</v>
      </c>
      <c r="U19" s="1" t="s">
        <v>23</v>
      </c>
      <c r="V19" s="9" t="s">
        <v>35</v>
      </c>
      <c r="W19" s="9">
        <f t="shared" si="9"/>
        <v>0</v>
      </c>
      <c r="Z19" s="43" t="str">
        <f>VLOOKUP($B19,'[2]Số sổ BHXH T05'!$B$11:$K$11515,10,0)</f>
        <v>Công nhân vận hành máy may công nghiệp</v>
      </c>
    </row>
    <row r="20" ht="27.75" customHeight="1" spans="1:26" s="1" customFormat="1" x14ac:dyDescent="0.25">
      <c r="A20" s="38">
        <v>8</v>
      </c>
      <c r="B20" s="39" t="s">
        <v>36</v>
      </c>
      <c r="C20" s="40" t="str">
        <f>VLOOKUP($B20,[1]Sheet1!$F$5:$G$69270,2,0)</f>
        <v>BÙI VĂN TÚ</v>
      </c>
      <c r="D20" s="38" t="str">
        <f>VLOOKUP($B20,'[2]Số sổ BHXH T05'!$B$11:$K$11515,4,0)</f>
        <v>2420140529</v>
      </c>
      <c r="E20" s="41">
        <v>45972</v>
      </c>
      <c r="F20" s="41">
        <v>45972</v>
      </c>
      <c r="G20" s="42">
        <f>SUMPRODUCT(--(WEEKDAY(ROW(INDIRECT($E20:$E37&amp;":"&amp;$F20:$F40)),1)=1))</f>
        <v>0</v>
      </c>
      <c r="H20" s="42">
        <f>SUMPRODUCT(--(WEEKDAY(ROW(INDIRECT($E20:$E37&amp;":"&amp;$F20:$F40)),1)=2))</f>
        <v>0</v>
      </c>
      <c r="I20" s="42">
        <f>SUMPRODUCT(--(WEEKDAY(ROW(INDIRECT($E20:$E37&amp;":"&amp;$F20:$F40)),1)=3))</f>
        <v>1</v>
      </c>
      <c r="J20" s="42">
        <f>SUMPRODUCT(--(WEEKDAY(ROW(INDIRECT($E20:$E37&amp;":"&amp;$F20:$F40)),1)=4))</f>
        <v>0</v>
      </c>
      <c r="K20" s="42">
        <f>SUMPRODUCT(--(WEEKDAY(ROW(INDIRECT($E20:$E37&amp;":"&amp;$F20:$F40)),1)=5))</f>
        <v>0</v>
      </c>
      <c r="L20" s="42">
        <f>SUMPRODUCT(--(WEEKDAY(ROW(INDIRECT($E20:$E37&amp;":"&amp;$F20:$F40)),1)=6))</f>
        <v>0</v>
      </c>
      <c r="M20" s="42">
        <f>SUMPRODUCT(--(WEEKDAY(ROW(INDIRECT($E20:$E37&amp;":"&amp;$F20:$F40)),1)=7))</f>
        <v>0</v>
      </c>
      <c r="N20" s="42">
        <f t="shared" si="7"/>
        <v>1</v>
      </c>
      <c r="O20" s="38">
        <f t="shared" si="8"/>
        <v>1</v>
      </c>
      <c r="P20" s="38"/>
      <c r="Q20" s="43" t="str">
        <f>VLOOKUP($B20,'[2]T01.2025'!C10:F7363,4,0)</f>
        <v>1963864703</v>
      </c>
      <c r="R20" s="43"/>
      <c r="S20" s="44"/>
      <c r="T20" s="7" t="s">
        <v>22</v>
      </c>
      <c r="U20" s="1" t="s">
        <v>23</v>
      </c>
      <c r="V20" s="9" t="s">
        <v>37</v>
      </c>
      <c r="W20" s="9">
        <f t="shared" si="9"/>
        <v>0</v>
      </c>
      <c r="Z20" s="43" t="str">
        <f>VLOOKUP($B20,'[2]Số sổ BHXH T05'!$B$11:$K$11515,10,0)</f>
        <v>Công nhân cắt phá, cắt gọt</v>
      </c>
    </row>
    <row r="21" ht="48" customHeight="1" spans="1:26" s="1" customFormat="1" x14ac:dyDescent="0.25">
      <c r="A21" s="38">
        <v>9</v>
      </c>
      <c r="B21" s="39" t="s">
        <v>38</v>
      </c>
      <c r="C21" s="40" t="str">
        <f>VLOOKUP($B21,[1]Sheet1!$F$5:$G$69270,2,0)</f>
        <v>NGUYỄN VĂN TỰA</v>
      </c>
      <c r="D21" s="38" t="s">
        <v>39</v>
      </c>
      <c r="E21" s="41">
        <v>45974</v>
      </c>
      <c r="F21" s="41">
        <v>45974</v>
      </c>
      <c r="G21" s="42">
        <f>SUMPRODUCT(--(WEEKDAY(ROW(INDIRECT($E21:$E41&amp;":"&amp;$F21:$F35)),1)=1))</f>
        <v>0</v>
      </c>
      <c r="H21" s="42">
        <f>SUMPRODUCT(--(WEEKDAY(ROW(INDIRECT($E21:$E41&amp;":"&amp;$F21:$F35)),1)=2))</f>
        <v>0</v>
      </c>
      <c r="I21" s="42">
        <f>SUMPRODUCT(--(WEEKDAY(ROW(INDIRECT($E21:$E41&amp;":"&amp;$F21:$F35)),1)=3))</f>
        <v>0</v>
      </c>
      <c r="J21" s="42">
        <f>SUMPRODUCT(--(WEEKDAY(ROW(INDIRECT($E21:$E41&amp;":"&amp;$F21:$F35)),1)=4))</f>
        <v>0</v>
      </c>
      <c r="K21" s="42">
        <f>SUMPRODUCT(--(WEEKDAY(ROW(INDIRECT($E21:$E41&amp;":"&amp;$F21:$F35)),1)=5))</f>
        <v>1</v>
      </c>
      <c r="L21" s="42">
        <f>SUMPRODUCT(--(WEEKDAY(ROW(INDIRECT($E21:$E41&amp;":"&amp;$F21:$F35)),1)=6))</f>
        <v>0</v>
      </c>
      <c r="M21" s="42">
        <f>SUMPRODUCT(--(WEEKDAY(ROW(INDIRECT($E21:$E41&amp;":"&amp;$F21:$F35)),1)=7))</f>
        <v>0</v>
      </c>
      <c r="N21" s="42">
        <f t="shared" si="7"/>
        <v>1</v>
      </c>
      <c r="O21" s="38">
        <f t="shared" si="8"/>
        <v>1</v>
      </c>
      <c r="P21" s="38"/>
      <c r="Q21" s="43">
        <v>1041943894</v>
      </c>
      <c r="R21" s="43"/>
      <c r="S21" s="44"/>
      <c r="T21" s="7" t="s">
        <v>22</v>
      </c>
      <c r="U21" s="1" t="s">
        <v>23</v>
      </c>
      <c r="V21" s="9" t="s">
        <v>40</v>
      </c>
      <c r="W21" s="9">
        <f t="shared" si="9"/>
        <v>0</v>
      </c>
      <c r="Z21" s="43" t="e">
        <f>VLOOKUP($B21,'[2]Số sổ BHXH T05'!$B$11:$K$11515,10,0)</f>
        <v>#N/A</v>
      </c>
    </row>
    <row r="22" ht="52.5" customHeight="1" spans="1:26" s="1" customFormat="1" x14ac:dyDescent="0.25">
      <c r="A22" s="38">
        <v>10</v>
      </c>
      <c r="B22" s="39" t="s">
        <v>41</v>
      </c>
      <c r="C22" s="40" t="str">
        <f>VLOOKUP($B22,[1]Sheet1!$F$5:$G$69270,2,0)</f>
        <v>NGUYỄN THỊ DUNG</v>
      </c>
      <c r="D22" s="38" t="str">
        <f>VLOOKUP($B22,'[2]Số sổ BHXH T05'!$B$11:$K$11515,4,0)</f>
        <v>2422374879</v>
      </c>
      <c r="E22" s="41">
        <v>45968</v>
      </c>
      <c r="F22" s="41">
        <v>45968</v>
      </c>
      <c r="G22" s="42">
        <f>SUMPRODUCT(--(WEEKDAY(ROW(INDIRECT($E22:$E38&amp;":"&amp;$F22:$F36)),1)=1))</f>
        <v>0</v>
      </c>
      <c r="H22" s="42">
        <f>SUMPRODUCT(--(WEEKDAY(ROW(INDIRECT($E22:$E38&amp;":"&amp;$F22:$F36)),1)=2))</f>
        <v>0</v>
      </c>
      <c r="I22" s="42">
        <f>SUMPRODUCT(--(WEEKDAY(ROW(INDIRECT($E22:$E38&amp;":"&amp;$F22:$F36)),1)=3))</f>
        <v>0</v>
      </c>
      <c r="J22" s="42">
        <f>SUMPRODUCT(--(WEEKDAY(ROW(INDIRECT($E22:$E38&amp;":"&amp;$F22:$F36)),1)=4))</f>
        <v>0</v>
      </c>
      <c r="K22" s="42">
        <f>SUMPRODUCT(--(WEEKDAY(ROW(INDIRECT($E22:$E38&amp;":"&amp;$F22:$F36)),1)=5))</f>
        <v>0</v>
      </c>
      <c r="L22" s="42">
        <f>SUMPRODUCT(--(WEEKDAY(ROW(INDIRECT($E22:$E38&amp;":"&amp;$F22:$F36)),1)=6))</f>
        <v>1</v>
      </c>
      <c r="M22" s="42">
        <f>SUMPRODUCT(--(WEEKDAY(ROW(INDIRECT($E22:$E38&amp;":"&amp;$F22:$F36)),1)=7))</f>
        <v>0</v>
      </c>
      <c r="N22" s="42">
        <f t="shared" si="7"/>
        <v>1</v>
      </c>
      <c r="O22" s="38">
        <f t="shared" si="8"/>
        <v>1</v>
      </c>
      <c r="P22" s="38"/>
      <c r="Q22" s="43" t="str">
        <f>VLOOKUP($B22,'[2]T01.2025'!C12:F7365,4,0)</f>
        <v>1045014842</v>
      </c>
      <c r="R22" s="43"/>
      <c r="S22" s="44"/>
      <c r="T22" s="7" t="s">
        <v>22</v>
      </c>
      <c r="U22" s="1" t="s">
        <v>23</v>
      </c>
      <c r="V22" s="9" t="s">
        <v>42</v>
      </c>
      <c r="W22" s="9">
        <f t="shared" si="9"/>
        <v>0</v>
      </c>
      <c r="Z22" s="43" t="str">
        <f>VLOOKUP($B22,'[2]Số sổ BHXH T05'!$B$11:$K$11515,10,0)</f>
        <v>Công nhân vận hành máy may công nghiệp</v>
      </c>
    </row>
    <row r="23" ht="33.75" customHeight="1" spans="1:23" s="1" customFormat="1" x14ac:dyDescent="0.25">
      <c r="A23" s="38">
        <v>11</v>
      </c>
      <c r="B23" s="39" t="s">
        <v>43</v>
      </c>
      <c r="C23" s="40" t="str">
        <f>VLOOKUP($B23,[1]Sheet1!$F$5:$G$50270,2,0)</f>
        <v>TẠ THỊ THẢO</v>
      </c>
      <c r="D23" s="38" t="str">
        <f>VLOOKUP($B23,'[2]Số sổ BHXH T05'!$B$11:$K$11515,4,0)</f>
        <v>2416089906</v>
      </c>
      <c r="E23" s="41">
        <v>45961</v>
      </c>
      <c r="F23" s="41">
        <v>45962</v>
      </c>
      <c r="G23" s="42">
        <f>SUMPRODUCT(--(WEEKDAY(ROW(INDIRECT($E23:$E63&amp;":"&amp;$F23:$F55)),1)=1))</f>
        <v>0</v>
      </c>
      <c r="H23" s="42">
        <f>SUMPRODUCT(--(WEEKDAY(ROW(INDIRECT($E23:$E63&amp;":"&amp;$F23:$F55)),1)=2))</f>
        <v>0</v>
      </c>
      <c r="I23" s="42">
        <f>SUMPRODUCT(--(WEEKDAY(ROW(INDIRECT($E23:$E63&amp;":"&amp;$F23:$F55)),1)=3))</f>
        <v>0</v>
      </c>
      <c r="J23" s="42">
        <f>SUMPRODUCT(--(WEEKDAY(ROW(INDIRECT($E23:$E63&amp;":"&amp;$F23:$F55)),1)=4))</f>
        <v>0</v>
      </c>
      <c r="K23" s="42">
        <f>SUMPRODUCT(--(WEEKDAY(ROW(INDIRECT($E23:$E63&amp;":"&amp;$F23:$F55)),1)=5))</f>
        <v>0</v>
      </c>
      <c r="L23" s="42">
        <f>SUMPRODUCT(--(WEEKDAY(ROW(INDIRECT($E23:$E63&amp;":"&amp;$F23:$F55)),1)=6))</f>
        <v>1</v>
      </c>
      <c r="M23" s="42">
        <f>SUMPRODUCT(--(WEEKDAY(ROW(INDIRECT($E23:$E63&amp;":"&amp;$F23:$F55)),1)=7))</f>
        <v>1</v>
      </c>
      <c r="N23" s="42">
        <f t="shared" si="7"/>
        <v>2</v>
      </c>
      <c r="O23" s="38">
        <f t="shared" si="8"/>
        <v>2</v>
      </c>
      <c r="P23" s="38"/>
      <c r="Q23" s="43" t="str">
        <f>VLOOKUP($B23,'[2]T01.2025'!C17:F7370,4,0)</f>
        <v>0351001032772</v>
      </c>
      <c r="R23" s="45"/>
      <c r="S23" s="44" t="s">
        <v>44</v>
      </c>
      <c r="T23" s="7" t="s">
        <v>45</v>
      </c>
      <c r="U23" s="1" t="s">
        <v>46</v>
      </c>
      <c r="V23" s="9"/>
      <c r="W23" s="9">
        <f t="shared" si="9"/>
        <v>0</v>
      </c>
    </row>
  </sheetData>
  <mergeCells count="4">
    <mergeCell ref="A5:S5"/>
    <mergeCell ref="A6:S6"/>
    <mergeCell ref="A7:S7"/>
    <mergeCell ref="A8:S8"/>
  </mergeCells>
  <conditionalFormatting sqref="B1:B22"/>
  <conditionalFormatting sqref="B23"/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2025-11-23T03:51:34Z</dcterms:created>
  <dcterms:modified xsi:type="dcterms:W3CDTF">2025-11-23T05:32:10Z</dcterms:modified>
</cp:coreProperties>
</file>